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91810\Downloads\IT VEDANT WINGS ASS\"/>
    </mc:Choice>
  </mc:AlternateContent>
  <xr:revisionPtr revIDLastSave="0" documentId="13_ncr:1_{74C1CFB1-D06D-4D96-8BD8-DC49A6EEA035}" xr6:coauthVersionLast="47" xr6:coauthVersionMax="47" xr10:uidLastSave="{00000000-0000-0000-0000-000000000000}"/>
  <bookViews>
    <workbookView xWindow="-108" yWindow="-108" windowWidth="23256" windowHeight="12576" activeTab="1" xr2:uid="{0F3AEE48-C297-4BCF-87D9-6D5971F8455F}"/>
  </bookViews>
  <sheets>
    <sheet name=" PROJECT 1  SALES DATA ANALYS" sheetId="1" r:id="rId1"/>
    <sheet name="DASABOARD" sheetId="3" r:id="rId2"/>
    <sheet name="Sheet1" sheetId="2" r:id="rId3"/>
    <sheet name="Sheet3" sheetId="4" r:id="rId4"/>
  </sheets>
  <definedNames>
    <definedName name="Category">' PROJECT 1  SALES DATA ANALYS'!$D:$D</definedName>
    <definedName name="City">' PROJECT 1  SALES DATA ANALYS'!$E:$E</definedName>
    <definedName name="Quantity">' PROJECT 1  SALES DATA ANALYS'!$G:$G</definedName>
    <definedName name="Sales_Amount">Table1[Sales_Amount]</definedName>
    <definedName name="Sales_Total">' PROJECT 1  SALES DATA ANALYS'!$I:$I</definedName>
    <definedName name="Slicer_Product1">#N/A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7" i="1" l="1"/>
  <c r="M8" i="1"/>
  <c r="M6" i="1"/>
  <c r="M7" i="1"/>
  <c r="M9" i="1"/>
  <c r="M10" i="1"/>
  <c r="M11" i="1"/>
  <c r="M12" i="1"/>
  <c r="M13" i="1"/>
  <c r="M14" i="1"/>
  <c r="M15" i="1"/>
  <c r="M16" i="1"/>
  <c r="M17" i="1"/>
  <c r="M18" i="1"/>
  <c r="M19" i="1"/>
  <c r="M5" i="1"/>
  <c r="AD31" i="1"/>
  <c r="AD25" i="1"/>
  <c r="AD17" i="1"/>
  <c r="AD7" i="1"/>
  <c r="L5" i="1"/>
  <c r="L6" i="1"/>
  <c r="L7" i="1"/>
  <c r="AD12" i="1"/>
  <c r="K5" i="1"/>
  <c r="K6" i="1"/>
  <c r="K7" i="1"/>
  <c r="Q33" i="1"/>
  <c r="Q28" i="1"/>
  <c r="Y7" i="1"/>
  <c r="Y8" i="1"/>
  <c r="Q22" i="1"/>
  <c r="Q16" i="1"/>
  <c r="Q8" i="1"/>
  <c r="Q15" i="1"/>
  <c r="J6" i="1"/>
  <c r="J5" i="1"/>
  <c r="J7" i="1"/>
  <c r="J8" i="1"/>
  <c r="J9" i="1"/>
  <c r="J10" i="1"/>
  <c r="J11" i="1"/>
  <c r="J12" i="1"/>
  <c r="J13" i="1"/>
  <c r="J14" i="1"/>
  <c r="J15" i="1"/>
  <c r="J16" i="1"/>
  <c r="J17" i="1"/>
  <c r="J18" i="1"/>
  <c r="J19" i="1"/>
  <c r="I5" i="1"/>
  <c r="L8" i="1" s="1"/>
  <c r="I6" i="1"/>
  <c r="K9" i="1" s="1"/>
  <c r="I7" i="1"/>
  <c r="K10" i="1" s="1"/>
  <c r="I8" i="1"/>
  <c r="K11" i="1" s="1"/>
  <c r="I9" i="1"/>
  <c r="K12" i="1" s="1"/>
  <c r="I10" i="1"/>
  <c r="K13" i="1" s="1"/>
  <c r="I11" i="1"/>
  <c r="K14" i="1" s="1"/>
  <c r="I12" i="1"/>
  <c r="K15" i="1" s="1"/>
  <c r="I13" i="1"/>
  <c r="K16" i="1" s="1"/>
  <c r="I14" i="1"/>
  <c r="K17" i="1" s="1"/>
  <c r="I15" i="1"/>
  <c r="K18" i="1" s="1"/>
  <c r="I16" i="1"/>
  <c r="K19" i="1" s="1"/>
  <c r="I17" i="1"/>
  <c r="I18" i="1"/>
  <c r="I19" i="1"/>
  <c r="L10" i="1" l="1"/>
  <c r="L17" i="1"/>
  <c r="L13" i="1"/>
  <c r="L9" i="1"/>
  <c r="L19" i="1"/>
  <c r="L15" i="1"/>
  <c r="L11" i="1"/>
  <c r="L18" i="1"/>
  <c r="L14" i="1"/>
  <c r="L16" i="1"/>
  <c r="L12" i="1"/>
  <c r="U7" i="1"/>
  <c r="K8" i="1"/>
  <c r="U22" i="1"/>
  <c r="Y18" i="1"/>
  <c r="U13" i="1"/>
  <c r="Y24" i="1"/>
  <c r="V22" i="1"/>
  <c r="Y27" i="1"/>
  <c r="U10" i="1"/>
  <c r="U16" i="1"/>
  <c r="Y11" i="1"/>
  <c r="Y12" i="1"/>
  <c r="Q12" i="1"/>
  <c r="Q11" i="1"/>
</calcChain>
</file>

<file path=xl/sharedStrings.xml><?xml version="1.0" encoding="utf-8"?>
<sst xmlns="http://schemas.openxmlformats.org/spreadsheetml/2006/main" count="185" uniqueCount="127">
  <si>
    <t>Order_ID</t>
  </si>
  <si>
    <t>Order_Date</t>
  </si>
  <si>
    <t>Product</t>
  </si>
  <si>
    <t>Category</t>
  </si>
  <si>
    <t>City</t>
  </si>
  <si>
    <t>Sales_Amount</t>
  </si>
  <si>
    <t>Quantity</t>
  </si>
  <si>
    <t>Payment_Mode</t>
  </si>
  <si>
    <t>O1001</t>
  </si>
  <si>
    <t>Laptop</t>
  </si>
  <si>
    <t>Electronics</t>
  </si>
  <si>
    <t>Mumbai</t>
  </si>
  <si>
    <t>Card</t>
  </si>
  <si>
    <t>O1002</t>
  </si>
  <si>
    <t>Mobile</t>
  </si>
  <si>
    <t>Pune</t>
  </si>
  <si>
    <t>UPI</t>
  </si>
  <si>
    <t>O1003</t>
  </si>
  <si>
    <t>Headphones</t>
  </si>
  <si>
    <t>Delhi</t>
  </si>
  <si>
    <t>Cash</t>
  </si>
  <si>
    <t>O1004</t>
  </si>
  <si>
    <t>Office Chair</t>
  </si>
  <si>
    <t>Furniture</t>
  </si>
  <si>
    <t>Bangalore</t>
  </si>
  <si>
    <t>O1005</t>
  </si>
  <si>
    <t>Table</t>
  </si>
  <si>
    <t>Chennai</t>
  </si>
  <si>
    <t>Net Banking</t>
  </si>
  <si>
    <t>O1006</t>
  </si>
  <si>
    <t>Monitor</t>
  </si>
  <si>
    <t>O1007</t>
  </si>
  <si>
    <t>Keyboard</t>
  </si>
  <si>
    <t>O1008</t>
  </si>
  <si>
    <t>Sofa</t>
  </si>
  <si>
    <t>O1009</t>
  </si>
  <si>
    <t>Mouse</t>
  </si>
  <si>
    <t>O1010</t>
  </si>
  <si>
    <t>Printer</t>
  </si>
  <si>
    <t>O1011</t>
  </si>
  <si>
    <t>Bed</t>
  </si>
  <si>
    <t>O1012</t>
  </si>
  <si>
    <t>Tablet</t>
  </si>
  <si>
    <t>O1013</t>
  </si>
  <si>
    <t>Bookshelf</t>
  </si>
  <si>
    <t>O1014</t>
  </si>
  <si>
    <t>Smart Watch</t>
  </si>
  <si>
    <t>O1015</t>
  </si>
  <si>
    <t>Dining Table</t>
  </si>
  <si>
    <t>Month_Column</t>
  </si>
  <si>
    <t>TOTAL SALES AMOUNT</t>
  </si>
  <si>
    <t>FORMULAS</t>
  </si>
  <si>
    <t xml:space="preserve">SUM FORMULA </t>
  </si>
  <si>
    <t>QUANTITY TOTAL</t>
  </si>
  <si>
    <t>Sales_Total</t>
  </si>
  <si>
    <t>SALES TOTAL</t>
  </si>
  <si>
    <t xml:space="preserve">  SUM(Sales_Amount)</t>
  </si>
  <si>
    <t>SUM FORMULA USING BY RANG</t>
  </si>
  <si>
    <t>SUM FORMULA USING BY NAME CELL</t>
  </si>
  <si>
    <t xml:space="preserve"> SUM(Sales_Total)</t>
  </si>
  <si>
    <t xml:space="preserve"> SUM(Quantity)</t>
  </si>
  <si>
    <t>SUMIF FORMULAS</t>
  </si>
  <si>
    <t>CATEGORY-WISE TOTAL SALES</t>
  </si>
  <si>
    <t>CITY-WISE TOTAL SALES</t>
  </si>
  <si>
    <t>Monthly Total Sales</t>
  </si>
  <si>
    <t>PRODUCT-WISE TOTAL SALES</t>
  </si>
  <si>
    <t>TOTAL ORDERS COUNT(BONUS)</t>
  </si>
  <si>
    <t>COUNTA FORMULA</t>
  </si>
  <si>
    <t>AVERAGE FORMULAS</t>
  </si>
  <si>
    <t xml:space="preserve">  AVERAGE(Sales_Total)</t>
  </si>
  <si>
    <t>AVERAGE FORMULA USING BY RANG</t>
  </si>
  <si>
    <t>AVERAGE FORMULA USING BY NAME CELL</t>
  </si>
  <si>
    <t xml:space="preserve">  AVERAGE(Sales_Amount)</t>
  </si>
  <si>
    <t>AVERAGEIF FORMULAS</t>
  </si>
  <si>
    <t xml:space="preserve">CATEGORY-WISE </t>
  </si>
  <si>
    <t xml:space="preserve">CITY-WISE </t>
  </si>
  <si>
    <t>AVERAGEIFS FORMULAS</t>
  </si>
  <si>
    <t xml:space="preserve">CATEGORY &amp; CITY WISE </t>
  </si>
  <si>
    <t>MAX FORMULA</t>
  </si>
  <si>
    <t>MIN FORMULA</t>
  </si>
  <si>
    <t>COUNTIF FORMULA</t>
  </si>
  <si>
    <t xml:space="preserve">ORDERS PER CITY </t>
  </si>
  <si>
    <t>COUNTIFS FORMULA</t>
  </si>
  <si>
    <t xml:space="preserve">ODERS PER CITY AND CATEGORY </t>
  </si>
  <si>
    <t>LOGICAL FORMULAS</t>
  </si>
  <si>
    <t>SALES DATA ANALYS</t>
  </si>
  <si>
    <t>IF</t>
  </si>
  <si>
    <t>Sales Performance</t>
  </si>
  <si>
    <t>IFS</t>
  </si>
  <si>
    <t>Sales Grade</t>
  </si>
  <si>
    <t>IF(I2&gt;20000,"HIGH","LOW")</t>
  </si>
  <si>
    <t>Avoid Errors</t>
  </si>
  <si>
    <t>IFSRROR</t>
  </si>
  <si>
    <t>LOOKUP FORMULAS</t>
  </si>
  <si>
    <t>VLOOKUP</t>
  </si>
  <si>
    <t>Old Method</t>
  </si>
  <si>
    <t>IFERROR(I5/G5,0)</t>
  </si>
  <si>
    <t>INDEX + MATCH</t>
  </si>
  <si>
    <t>BEST PRACTICE</t>
  </si>
  <si>
    <t>INDEX(F5:F19,MATCH("Tablet",C5:C19,0))</t>
  </si>
  <si>
    <t>VLOOKUP("Laptop",C5:F5,4,FALSE)</t>
  </si>
  <si>
    <t xml:space="preserve">  SUM(F5:F19)</t>
  </si>
  <si>
    <t xml:space="preserve"> SUM(I5:I19)</t>
  </si>
  <si>
    <t xml:space="preserve"> SUM(G5:G19)</t>
  </si>
  <si>
    <t>COUNTA(A5:A19)</t>
  </si>
  <si>
    <t>COUNTIF(E5:E19,"Pune")</t>
  </si>
  <si>
    <t>COUNTIFS(E5:E19,"Delhi",D5:D16,"Furniture")</t>
  </si>
  <si>
    <t>MAX(I5:I19)</t>
  </si>
  <si>
    <t>MIN(I5:I19)</t>
  </si>
  <si>
    <t xml:space="preserve">  SUMIF(C5:C19,"Laptop",I5:I19)</t>
  </si>
  <si>
    <t xml:space="preserve">  SUMIF(J5:J19,"Jan-2024",I5:I19)</t>
  </si>
  <si>
    <t xml:space="preserve">  SUMIF(E5:E19,"Mumbai",I5:I19)</t>
  </si>
  <si>
    <t xml:space="preserve">  SUMIF(D5:D19,"Electronics",I5:I19)</t>
  </si>
  <si>
    <t xml:space="preserve">  AVERAGE(F5:F19)</t>
  </si>
  <si>
    <t xml:space="preserve">  AVERAGE(I5:I19)</t>
  </si>
  <si>
    <t>AVERAGEIFS(I5:I19,D2:D19,"Electronics",E5:E19,"Pune")</t>
  </si>
  <si>
    <t>AVERAGEIF(D5:D19,"ELECTRONICS",I5:I19)</t>
  </si>
  <si>
    <t>AVERAGEIF(E5:E19,"Mumbai",I5:I19)</t>
  </si>
  <si>
    <t>IFS(I5&gt;50000,"Execellent",I5&gt;20000,"Good",TRUE,"Average")</t>
  </si>
  <si>
    <t>Row Labels</t>
  </si>
  <si>
    <t>Grand Total</t>
  </si>
  <si>
    <t>Column Labels</t>
  </si>
  <si>
    <t>Sum of Sales_Total</t>
  </si>
  <si>
    <t>(All)</t>
  </si>
  <si>
    <t>Sum of Sales_Amount</t>
  </si>
  <si>
    <t>Total Sum of Sales_Amount</t>
  </si>
  <si>
    <t>Total Sum of Sales_Total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</si>
</sst>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8"/>
      <color theme="1"/>
      <name val="Arial Black"/>
      <family val="2"/>
    </font>
    <font>
      <sz val="11"/>
      <color theme="4"/>
      <name val="Calibri"/>
      <family val="2"/>
      <scheme val="minor"/>
    </font>
    <font>
      <sz val="11"/>
      <name val="Calibri"/>
      <family val="2"/>
      <scheme val="minor"/>
    </font>
    <font>
      <b/>
      <sz val="16"/>
      <color theme="1"/>
      <name val="Calibri"/>
      <family val="2"/>
      <scheme val="minor"/>
    </font>
    <font>
      <sz val="16"/>
      <color theme="1"/>
      <name val="Arial Black"/>
      <family val="2"/>
    </font>
    <font>
      <b/>
      <sz val="18"/>
      <color theme="1"/>
      <name val="Arial Black"/>
      <family val="2"/>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style="medium">
        <color indexed="64"/>
      </top>
      <bottom/>
      <diagonal/>
    </border>
    <border>
      <left/>
      <right/>
      <top style="thin">
        <color indexed="64"/>
      </top>
      <bottom style="thin">
        <color indexed="64"/>
      </bottom>
      <diagonal/>
    </border>
    <border>
      <left style="thick">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68">
    <xf numFmtId="0" fontId="0" fillId="0" borderId="0" xfId="0"/>
    <xf numFmtId="0" fontId="0" fillId="0" borderId="0" xfId="0"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2" fontId="0" fillId="0" borderId="0" xfId="0" applyNumberFormat="1" applyAlignment="1">
      <alignment horizontal="center" vertical="center"/>
    </xf>
    <xf numFmtId="0" fontId="5" fillId="0" borderId="0" xfId="0" applyFont="1" applyAlignment="1">
      <alignment horizontal="center" vertical="center"/>
    </xf>
    <xf numFmtId="2" fontId="0" fillId="0" borderId="1" xfId="0" applyNumberFormat="1" applyBorder="1" applyAlignment="1">
      <alignment horizontal="center" vertical="center"/>
    </xf>
    <xf numFmtId="0" fontId="5" fillId="0" borderId="1" xfId="0" applyFont="1" applyBorder="1" applyAlignment="1">
      <alignment horizontal="center" vertical="center"/>
    </xf>
    <xf numFmtId="0" fontId="0" fillId="0" borderId="1" xfId="0" applyBorder="1" applyAlignment="1">
      <alignment horizontal="center" vertical="center"/>
    </xf>
    <xf numFmtId="0" fontId="5" fillId="0" borderId="1" xfId="0" applyFont="1" applyBorder="1"/>
    <xf numFmtId="0" fontId="5" fillId="0" borderId="1" xfId="0" applyFont="1" applyBorder="1" applyAlignment="1">
      <alignment horizontal="center" vertical="center" wrapText="1"/>
    </xf>
    <xf numFmtId="0" fontId="2" fillId="0" borderId="9" xfId="0" applyFont="1" applyBorder="1" applyAlignment="1">
      <alignment horizontal="center" vertical="center"/>
    </xf>
    <xf numFmtId="14"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2" fontId="2" fillId="0" borderId="10" xfId="0" applyNumberFormat="1" applyFont="1" applyBorder="1" applyAlignment="1">
      <alignment horizontal="center" vertical="center"/>
    </xf>
    <xf numFmtId="0" fontId="2" fillId="0" borderId="11" xfId="0" applyFont="1" applyBorder="1" applyAlignment="1">
      <alignment horizontal="center" vertical="center"/>
    </xf>
    <xf numFmtId="0" fontId="0" fillId="0" borderId="12" xfId="0" applyBorder="1" applyAlignment="1">
      <alignment horizontal="center" vertical="center"/>
    </xf>
    <xf numFmtId="14" fontId="0" fillId="0" borderId="1" xfId="0" applyNumberFormat="1" applyBorder="1" applyAlignment="1">
      <alignment horizontal="center" vertical="center"/>
    </xf>
    <xf numFmtId="0" fontId="0" fillId="0" borderId="8" xfId="0" applyBorder="1" applyAlignment="1">
      <alignment horizontal="center" vertical="center"/>
    </xf>
    <xf numFmtId="0" fontId="0" fillId="0" borderId="13" xfId="0" applyBorder="1" applyAlignment="1">
      <alignment horizontal="center" vertical="center"/>
    </xf>
    <xf numFmtId="14" fontId="0" fillId="0" borderId="7" xfId="0" applyNumberFormat="1" applyBorder="1" applyAlignment="1">
      <alignment horizontal="center" vertical="center"/>
    </xf>
    <xf numFmtId="0" fontId="0" fillId="0" borderId="7" xfId="0" applyBorder="1" applyAlignment="1">
      <alignment horizontal="center" vertical="center"/>
    </xf>
    <xf numFmtId="2" fontId="0" fillId="0" borderId="7" xfId="0" applyNumberFormat="1" applyBorder="1" applyAlignment="1">
      <alignment horizontal="center" vertical="center"/>
    </xf>
    <xf numFmtId="0" fontId="8" fillId="0" borderId="0" xfId="0" applyFont="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0" fillId="0" borderId="17" xfId="0" applyBorder="1" applyAlignment="1">
      <alignment horizontal="center" vertical="center"/>
    </xf>
    <xf numFmtId="2" fontId="0" fillId="0" borderId="17" xfId="0" applyNumberFormat="1" applyBorder="1" applyAlignment="1">
      <alignment horizontal="center" vertical="center"/>
    </xf>
    <xf numFmtId="0" fontId="1" fillId="0" borderId="1" xfId="0" applyFont="1" applyBorder="1" applyAlignment="1">
      <alignment horizontal="center" vertical="center" wrapText="1"/>
    </xf>
    <xf numFmtId="0" fontId="1" fillId="0" borderId="16" xfId="0" applyFont="1" applyBorder="1" applyAlignment="1">
      <alignment horizontal="center" vertical="center" wrapText="1"/>
    </xf>
    <xf numFmtId="0" fontId="7" fillId="0" borderId="0" xfId="0" applyFont="1"/>
    <xf numFmtId="0" fontId="0" fillId="0" borderId="11" xfId="0" applyBorder="1" applyAlignment="1">
      <alignment horizontal="center" vertical="center"/>
    </xf>
    <xf numFmtId="0" fontId="7" fillId="0" borderId="2" xfId="0" applyFont="1" applyBorder="1"/>
    <xf numFmtId="2" fontId="0" fillId="0" borderId="10" xfId="0" applyNumberFormat="1" applyBorder="1" applyAlignment="1">
      <alignment horizontal="center" vertical="center"/>
    </xf>
    <xf numFmtId="0" fontId="0" fillId="2" borderId="3" xfId="0" applyFill="1" applyBorder="1" applyAlignment="1">
      <alignment horizontal="center" vertical="center"/>
    </xf>
    <xf numFmtId="0" fontId="0" fillId="0" borderId="10" xfId="0" applyBorder="1" applyAlignment="1">
      <alignment horizontal="center" vertical="center"/>
    </xf>
    <xf numFmtId="0" fontId="6" fillId="0" borderId="10" xfId="0" applyFont="1" applyBorder="1" applyAlignment="1">
      <alignment horizontal="center" vertical="center"/>
    </xf>
    <xf numFmtId="0" fontId="6" fillId="2" borderId="3" xfId="0" applyFont="1" applyFill="1" applyBorder="1" applyAlignment="1">
      <alignment horizontal="center" vertical="center"/>
    </xf>
    <xf numFmtId="0" fontId="0" fillId="2" borderId="3" xfId="0" applyFill="1" applyBorder="1"/>
    <xf numFmtId="0" fontId="0" fillId="2" borderId="3" xfId="0" applyFill="1" applyBorder="1" applyAlignment="1">
      <alignment horizontal="center" vertical="center" wrapText="1"/>
    </xf>
    <xf numFmtId="0" fontId="7" fillId="0" borderId="0" xfId="0" applyFont="1" applyAlignment="1">
      <alignment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4" xfId="0" applyFont="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28">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right/>
        <top/>
        <bottom/>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outline="0">
        <left/>
        <right/>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general" vertical="center" textRotation="0" wrapText="0" indent="0" justifyLastLine="0" shrinkToFit="0" readingOrder="0"/>
      <border diagonalUp="0" diagonalDown="0" outline="0">
        <left/>
        <right/>
        <top/>
        <bottom/>
      </border>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general" vertical="center" textRotation="0" wrapText="0" indent="0" justifyLastLine="0" shrinkToFit="0" readingOrder="0"/>
      <border diagonalUp="0" diagonalDown="0" outline="0">
        <left/>
        <right/>
        <top/>
        <bottom/>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right/>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IT VEDANT.xlsx]Sheet1!PivotTable1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1.00</c:v>
                </c:pt>
              </c:strCache>
            </c:strRef>
          </c:tx>
          <c:spPr>
            <a:solidFill>
              <a:schemeClr val="accent1"/>
            </a:solidFill>
            <a:ln>
              <a:noFill/>
            </a:ln>
            <a:effectLst/>
          </c:spPr>
          <c:invertIfNegative val="0"/>
          <c:cat>
            <c:strRef>
              <c:f>Sheet1!$A$5:$A$6</c:f>
              <c:strCache>
                <c:ptCount val="1"/>
                <c:pt idx="0">
                  <c:v>Dining Table</c:v>
                </c:pt>
              </c:strCache>
            </c:strRef>
          </c:cat>
          <c:val>
            <c:numRef>
              <c:f>Sheet1!$B$5:$B$6</c:f>
              <c:numCache>
                <c:formatCode>General</c:formatCode>
                <c:ptCount val="1"/>
                <c:pt idx="0">
                  <c:v>28000</c:v>
                </c:pt>
              </c:numCache>
            </c:numRef>
          </c:val>
          <c:extLst>
            <c:ext xmlns:c16="http://schemas.microsoft.com/office/drawing/2014/chart" uri="{C3380CC4-5D6E-409C-BE32-E72D297353CC}">
              <c16:uniqueId val="{00000000-68BF-425F-AA26-F03111200E8B}"/>
            </c:ext>
          </c:extLst>
        </c:ser>
        <c:dLbls>
          <c:showLegendKey val="0"/>
          <c:showVal val="0"/>
          <c:showCatName val="0"/>
          <c:showSerName val="0"/>
          <c:showPercent val="0"/>
          <c:showBubbleSize val="0"/>
        </c:dLbls>
        <c:gapWidth val="219"/>
        <c:overlap val="-27"/>
        <c:axId val="476533456"/>
        <c:axId val="476525296"/>
      </c:barChart>
      <c:catAx>
        <c:axId val="47653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25296"/>
        <c:crosses val="autoZero"/>
        <c:auto val="1"/>
        <c:lblAlgn val="ctr"/>
        <c:lblOffset val="100"/>
        <c:noMultiLvlLbl val="0"/>
      </c:catAx>
      <c:valAx>
        <c:axId val="47652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3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IT VEDANT.xlsx]Sheet3!PivotTable2</c:name>
    <c:fmtId val="1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Sheet3!$B$3:$B$5</c:f>
              <c:strCache>
                <c:ptCount val="1"/>
                <c:pt idx="0">
                  <c:v>Furniture - Sum of Sales_Amount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Sheet3!$A$6:$A$7</c:f>
              <c:strCache>
                <c:ptCount val="1"/>
                <c:pt idx="0">
                  <c:v>Dining Table</c:v>
                </c:pt>
              </c:strCache>
            </c:strRef>
          </c:cat>
          <c:val>
            <c:numRef>
              <c:f>Sheet3!$B$6:$B$7</c:f>
              <c:numCache>
                <c:formatCode>0.00</c:formatCode>
                <c:ptCount val="1"/>
                <c:pt idx="0">
                  <c:v>28000</c:v>
                </c:pt>
              </c:numCache>
            </c:numRef>
          </c:val>
          <c:smooth val="0"/>
          <c:extLst>
            <c:ext xmlns:c16="http://schemas.microsoft.com/office/drawing/2014/chart" uri="{C3380CC4-5D6E-409C-BE32-E72D297353CC}">
              <c16:uniqueId val="{00000000-5C8F-4515-BD6E-06BDA8C2AC8B}"/>
            </c:ext>
          </c:extLst>
        </c:ser>
        <c:ser>
          <c:idx val="1"/>
          <c:order val="1"/>
          <c:tx>
            <c:strRef>
              <c:f>Sheet3!$C$3:$C$5</c:f>
              <c:strCache>
                <c:ptCount val="1"/>
                <c:pt idx="0">
                  <c:v>Furniture - Sum of Sales_Total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Sheet3!$A$6:$A$7</c:f>
              <c:strCache>
                <c:ptCount val="1"/>
                <c:pt idx="0">
                  <c:v>Dining Table</c:v>
                </c:pt>
              </c:strCache>
            </c:strRef>
          </c:cat>
          <c:val>
            <c:numRef>
              <c:f>Sheet3!$C$6:$C$7</c:f>
              <c:numCache>
                <c:formatCode>General</c:formatCode>
                <c:ptCount val="1"/>
                <c:pt idx="0">
                  <c:v>28000</c:v>
                </c:pt>
              </c:numCache>
            </c:numRef>
          </c:val>
          <c:smooth val="0"/>
          <c:extLst>
            <c:ext xmlns:c16="http://schemas.microsoft.com/office/drawing/2014/chart" uri="{C3380CC4-5D6E-409C-BE32-E72D297353CC}">
              <c16:uniqueId val="{00000001-5C8F-4515-BD6E-06BDA8C2AC8B}"/>
            </c:ext>
          </c:extLst>
        </c:ser>
        <c:dLbls>
          <c:showLegendKey val="0"/>
          <c:showVal val="0"/>
          <c:showCatName val="0"/>
          <c:showSerName val="0"/>
          <c:showPercent val="0"/>
          <c:showBubbleSize val="0"/>
        </c:dLbls>
        <c:marker val="1"/>
        <c:smooth val="0"/>
        <c:axId val="681076832"/>
        <c:axId val="681099872"/>
      </c:lineChart>
      <c:catAx>
        <c:axId val="68107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99872"/>
        <c:crosses val="autoZero"/>
        <c:auto val="1"/>
        <c:lblAlgn val="ctr"/>
        <c:lblOffset val="100"/>
        <c:noMultiLvlLbl val="0"/>
      </c:catAx>
      <c:valAx>
        <c:axId val="6810998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7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213360</xdr:colOff>
      <xdr:row>1</xdr:row>
      <xdr:rowOff>0</xdr:rowOff>
    </xdr:from>
    <xdr:to>
      <xdr:col>9</xdr:col>
      <xdr:colOff>152400</xdr:colOff>
      <xdr:row>18</xdr:row>
      <xdr:rowOff>0</xdr:rowOff>
    </xdr:to>
    <xdr:graphicFrame macro="">
      <xdr:nvGraphicFramePr>
        <xdr:cNvPr id="2" name="Chart 1">
          <a:extLst>
            <a:ext uri="{FF2B5EF4-FFF2-40B4-BE49-F238E27FC236}">
              <a16:creationId xmlns:a16="http://schemas.microsoft.com/office/drawing/2014/main" id="{48D311F6-953C-4D22-A73C-615FEF928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19</xdr:col>
      <xdr:colOff>419100</xdr:colOff>
      <xdr:row>17</xdr:row>
      <xdr:rowOff>167640</xdr:rowOff>
    </xdr:to>
    <xdr:graphicFrame macro="">
      <xdr:nvGraphicFramePr>
        <xdr:cNvPr id="3" name="Chart 2">
          <a:extLst>
            <a:ext uri="{FF2B5EF4-FFF2-40B4-BE49-F238E27FC236}">
              <a16:creationId xmlns:a16="http://schemas.microsoft.com/office/drawing/2014/main" id="{BFAA72AA-343B-411E-9198-35AEBAE1F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91440</xdr:colOff>
      <xdr:row>18</xdr:row>
      <xdr:rowOff>91440</xdr:rowOff>
    </xdr:from>
    <xdr:to>
      <xdr:col>3</xdr:col>
      <xdr:colOff>91440</xdr:colOff>
      <xdr:row>31</xdr:row>
      <xdr:rowOff>180975</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916FF895-358B-FF84-B236-1DAC75D394A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1440" y="3383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810" refreshedDate="46029.317144212961" createdVersion="8" refreshedVersion="8" minRefreshableVersion="3" recordCount="15" xr:uid="{F5D847E8-CCEE-4873-811A-C408DB438847}">
  <cacheSource type="worksheet">
    <worksheetSource name="Table1"/>
  </cacheSource>
  <cacheFields count="13">
    <cacheField name="Order_ID" numFmtId="0">
      <sharedItems/>
    </cacheField>
    <cacheField name="Order_Date" numFmtId="14">
      <sharedItems containsSemiMixedTypes="0" containsNonDate="0" containsDate="1" containsString="0" minDate="2024-01-01T00:00:00" maxDate="2024-01-16T00:00:00"/>
    </cacheField>
    <cacheField name="Product" numFmtId="0">
      <sharedItems count="15">
        <s v="Laptop"/>
        <s v="Mobile"/>
        <s v="Headphones"/>
        <s v="Office Chair"/>
        <s v="Table"/>
        <s v="Monitor"/>
        <s v="Keyboard"/>
        <s v="Sofa"/>
        <s v="Mouse"/>
        <s v="Printer"/>
        <s v="Bed"/>
        <s v="Tablet"/>
        <s v="Bookshelf"/>
        <s v="Smart Watch"/>
        <s v="Dining Table"/>
      </sharedItems>
    </cacheField>
    <cacheField name="Category" numFmtId="0">
      <sharedItems count="2">
        <s v="Electronics"/>
        <s v="Furniture"/>
      </sharedItems>
    </cacheField>
    <cacheField name="City" numFmtId="0">
      <sharedItems/>
    </cacheField>
    <cacheField name="Sales_Amount" numFmtId="2">
      <sharedItems containsSemiMixedTypes="0" containsString="0" containsNumber="1" containsInteger="1" minValue="1200" maxValue="55000"/>
    </cacheField>
    <cacheField name="Quantity" numFmtId="2">
      <sharedItems containsSemiMixedTypes="0" containsString="0" containsNumber="1" containsInteger="1" minValue="1" maxValue="3" count="3">
        <n v="1"/>
        <n v="2"/>
        <n v="3"/>
      </sharedItems>
    </cacheField>
    <cacheField name="Payment_Mode" numFmtId="0">
      <sharedItems/>
    </cacheField>
    <cacheField name="Sales_Total" numFmtId="0">
      <sharedItems containsSemiMixedTypes="0" containsString="0" containsNumber="1" containsInteger="1" minValue="3600" maxValue="55000"/>
    </cacheField>
    <cacheField name="Month_Column" numFmtId="0">
      <sharedItems count="1">
        <s v="Jan-2024"/>
      </sharedItems>
    </cacheField>
    <cacheField name="Sales Performance" numFmtId="0">
      <sharedItems/>
    </cacheField>
    <cacheField name="Sales Grade" numFmtId="0">
      <sharedItems/>
    </cacheField>
    <cacheField name="Avoid Errors" numFmtId="0">
      <sharedItems containsSemiMixedTypes="0" containsString="0" containsNumber="1" containsInteger="1" minValue="0" maxValue="55000"/>
    </cacheField>
  </cacheFields>
  <extLst>
    <ext xmlns:x14="http://schemas.microsoft.com/office/spreadsheetml/2009/9/main" uri="{725AE2AE-9491-48be-B2B4-4EB974FC3084}">
      <x14:pivotCacheDefinition pivotCacheId="557026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1001"/>
    <d v="2024-01-01T00:00:00"/>
    <x v="0"/>
    <x v="0"/>
    <s v="Mumbai"/>
    <n v="55000"/>
    <x v="0"/>
    <s v="Card"/>
    <n v="55000"/>
    <x v="0"/>
    <s v="LOW"/>
    <s v="Average"/>
    <n v="0"/>
  </r>
  <r>
    <s v="O1002"/>
    <d v="2024-01-02T00:00:00"/>
    <x v="1"/>
    <x v="0"/>
    <s v="Pune"/>
    <n v="20000"/>
    <x v="1"/>
    <s v="UPI"/>
    <n v="40000"/>
    <x v="0"/>
    <s v="LOW"/>
    <s v="Average"/>
    <n v="0"/>
  </r>
  <r>
    <s v="O1003"/>
    <d v="2024-01-03T00:00:00"/>
    <x v="2"/>
    <x v="0"/>
    <s v="Delhi"/>
    <n v="3000"/>
    <x v="2"/>
    <s v="Cash"/>
    <n v="9000"/>
    <x v="0"/>
    <s v="HIGH"/>
    <s v="Execellent"/>
    <n v="0"/>
  </r>
  <r>
    <s v="O1004"/>
    <d v="2024-01-04T00:00:00"/>
    <x v="3"/>
    <x v="1"/>
    <s v="Bangalore"/>
    <n v="7000"/>
    <x v="0"/>
    <s v="Card"/>
    <n v="7000"/>
    <x v="0"/>
    <s v="HIGH"/>
    <s v="Execellent"/>
    <n v="55000"/>
  </r>
  <r>
    <s v="O1005"/>
    <d v="2024-01-05T00:00:00"/>
    <x v="4"/>
    <x v="1"/>
    <s v="Chennai"/>
    <n v="12000"/>
    <x v="0"/>
    <s v="Net Banking"/>
    <n v="12000"/>
    <x v="0"/>
    <s v="HIGH"/>
    <s v="Good"/>
    <n v="20000"/>
  </r>
  <r>
    <s v="O1006"/>
    <d v="2024-01-06T00:00:00"/>
    <x v="5"/>
    <x v="0"/>
    <s v="Mumbai"/>
    <n v="15000"/>
    <x v="1"/>
    <s v="Card"/>
    <n v="30000"/>
    <x v="0"/>
    <s v="LOW"/>
    <s v="Average"/>
    <n v="3000"/>
  </r>
  <r>
    <s v="O1007"/>
    <d v="2024-01-07T00:00:00"/>
    <x v="6"/>
    <x v="0"/>
    <s v="Pune"/>
    <n v="2500"/>
    <x v="1"/>
    <s v="UPI"/>
    <n v="5000"/>
    <x v="0"/>
    <s v="LOW"/>
    <s v="Average"/>
    <n v="7000"/>
  </r>
  <r>
    <s v="O1008"/>
    <d v="2024-01-08T00:00:00"/>
    <x v="7"/>
    <x v="1"/>
    <s v="Delhi"/>
    <n v="40000"/>
    <x v="0"/>
    <s v="Card"/>
    <n v="40000"/>
    <x v="0"/>
    <s v="LOW"/>
    <s v="Average"/>
    <n v="12000"/>
  </r>
  <r>
    <s v="O1009"/>
    <d v="2024-01-09T00:00:00"/>
    <x v="8"/>
    <x v="0"/>
    <s v="Bangalore"/>
    <n v="1200"/>
    <x v="2"/>
    <s v="Cash"/>
    <n v="3600"/>
    <x v="0"/>
    <s v="HIGH"/>
    <s v="Good"/>
    <n v="15000"/>
  </r>
  <r>
    <s v="O1010"/>
    <d v="2024-01-10T00:00:00"/>
    <x v="9"/>
    <x v="0"/>
    <s v="Chennai"/>
    <n v="18000"/>
    <x v="0"/>
    <s v="Net Banking"/>
    <n v="18000"/>
    <x v="0"/>
    <s v="LOW"/>
    <s v="Average"/>
    <n v="2500"/>
  </r>
  <r>
    <s v="O1011"/>
    <d v="2024-01-11T00:00:00"/>
    <x v="10"/>
    <x v="1"/>
    <s v="Mumbai"/>
    <n v="35000"/>
    <x v="0"/>
    <s v="Card"/>
    <n v="35000"/>
    <x v="0"/>
    <s v="HIGH"/>
    <s v="Good"/>
    <n v="40000"/>
  </r>
  <r>
    <s v="O1012"/>
    <d v="2024-01-12T00:00:00"/>
    <x v="11"/>
    <x v="0"/>
    <s v="Pune"/>
    <n v="22000"/>
    <x v="0"/>
    <s v="UPI"/>
    <n v="22000"/>
    <x v="0"/>
    <s v="LOW"/>
    <s v="Average"/>
    <n v="1200"/>
  </r>
  <r>
    <s v="O1013"/>
    <d v="2024-01-13T00:00:00"/>
    <x v="12"/>
    <x v="1"/>
    <s v="Delhi"/>
    <n v="8000"/>
    <x v="0"/>
    <s v="Cash"/>
    <n v="8000"/>
    <x v="0"/>
    <s v="LOW"/>
    <s v="Average"/>
    <n v="18000"/>
  </r>
  <r>
    <s v="O1014"/>
    <d v="2024-01-14T00:00:00"/>
    <x v="13"/>
    <x v="0"/>
    <s v="Bangalore"/>
    <n v="12000"/>
    <x v="1"/>
    <s v="Card"/>
    <n v="24000"/>
    <x v="0"/>
    <s v="HIGH"/>
    <s v="Good"/>
    <n v="35000"/>
  </r>
  <r>
    <s v="O1015"/>
    <d v="2024-01-15T00:00:00"/>
    <x v="14"/>
    <x v="1"/>
    <s v="Chennai"/>
    <n v="28000"/>
    <x v="0"/>
    <s v="Net Banking"/>
    <n v="28000"/>
    <x v="0"/>
    <s v="HIGH"/>
    <s v="Good"/>
    <n v="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8A758E-EAC2-4CA5-B688-98846713412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1" firstDataRow="2" firstDataCol="1" rowPageCount="1" colPageCount="1"/>
  <pivotFields count="13">
    <pivotField showAll="0"/>
    <pivotField numFmtId="14" showAll="0"/>
    <pivotField axis="axisRow" showAll="0">
      <items count="16">
        <item h="1" x="10"/>
        <item h="1" x="12"/>
        <item x="14"/>
        <item h="1" x="2"/>
        <item h="1" x="6"/>
        <item h="1" x="0"/>
        <item h="1" x="1"/>
        <item h="1" x="5"/>
        <item h="1" x="8"/>
        <item h="1" x="3"/>
        <item h="1" x="9"/>
        <item h="1" x="13"/>
        <item h="1" x="7"/>
        <item h="1" x="4"/>
        <item h="1" x="11"/>
        <item t="default"/>
      </items>
    </pivotField>
    <pivotField showAll="0"/>
    <pivotField showAll="0"/>
    <pivotField numFmtId="2" showAll="0"/>
    <pivotField axis="axisCol" numFmtId="2" showAll="0">
      <items count="4">
        <item x="0"/>
        <item x="1"/>
        <item x="2"/>
        <item t="default"/>
      </items>
    </pivotField>
    <pivotField showAll="0"/>
    <pivotField dataField="1" showAll="0"/>
    <pivotField axis="axisPage" showAll="0">
      <items count="2">
        <item x="0"/>
        <item t="default"/>
      </items>
    </pivotField>
    <pivotField showAll="0"/>
    <pivotField showAll="0"/>
    <pivotField showAll="0"/>
  </pivotFields>
  <rowFields count="1">
    <field x="2"/>
  </rowFields>
  <rowItems count="2">
    <i>
      <x v="2"/>
    </i>
    <i t="grand">
      <x/>
    </i>
  </rowItems>
  <colFields count="1">
    <field x="6"/>
  </colFields>
  <colItems count="2">
    <i>
      <x/>
    </i>
    <i t="grand">
      <x/>
    </i>
  </colItems>
  <pageFields count="1">
    <pageField fld="9" hier="-1"/>
  </pageFields>
  <dataFields count="1">
    <dataField name="Sum of Sales_Total" fld="8" baseField="0" baseItem="0"/>
  </dataFields>
  <chartFormats count="6">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933AC-0FA6-4563-ACFA-A7122D1B9E3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7" firstHeaderRow="1" firstDataRow="3" firstDataCol="1" rowPageCount="1" colPageCount="1"/>
  <pivotFields count="13">
    <pivotField showAll="0"/>
    <pivotField numFmtId="14" showAll="0"/>
    <pivotField axis="axisRow" showAll="0">
      <items count="16">
        <item h="1" x="10"/>
        <item h="1" x="12"/>
        <item x="14"/>
        <item h="1" x="2"/>
        <item h="1" x="6"/>
        <item h="1" x="0"/>
        <item h="1" x="1"/>
        <item h="1" x="5"/>
        <item h="1" x="8"/>
        <item h="1" x="3"/>
        <item h="1" x="9"/>
        <item h="1" x="13"/>
        <item h="1" x="7"/>
        <item h="1" x="4"/>
        <item h="1" x="11"/>
        <item t="default"/>
      </items>
    </pivotField>
    <pivotField axis="axisCol" showAll="0">
      <items count="3">
        <item x="0"/>
        <item x="1"/>
        <item t="default"/>
      </items>
    </pivotField>
    <pivotField showAll="0"/>
    <pivotField dataField="1" numFmtId="2" showAll="0"/>
    <pivotField axis="axisPage" numFmtId="2" showAll="0">
      <items count="4">
        <item x="0"/>
        <item x="1"/>
        <item x="2"/>
        <item t="default"/>
      </items>
    </pivotField>
    <pivotField showAll="0"/>
    <pivotField dataField="1" showAll="0"/>
    <pivotField showAll="0"/>
    <pivotField showAll="0"/>
    <pivotField showAll="0"/>
    <pivotField showAll="0"/>
  </pivotFields>
  <rowFields count="1">
    <field x="2"/>
  </rowFields>
  <rowItems count="2">
    <i>
      <x v="2"/>
    </i>
    <i t="grand">
      <x/>
    </i>
  </rowItems>
  <colFields count="2">
    <field x="3"/>
    <field x="-2"/>
  </colFields>
  <colItems count="4">
    <i>
      <x v="1"/>
      <x/>
    </i>
    <i r="1" i="1">
      <x v="1"/>
    </i>
    <i t="grand">
      <x/>
    </i>
    <i t="grand" i="1">
      <x/>
    </i>
  </colItems>
  <pageFields count="1">
    <pageField fld="6" hier="-1"/>
  </pageFields>
  <dataFields count="2">
    <dataField name="Sum of Sales_Amount" fld="5" baseField="0" baseItem="0" numFmtId="2"/>
    <dataField name="Sum of Sales_Total" fld="8" baseField="0" baseItem="0"/>
  </dataFields>
  <chartFormats count="16">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1"/>
          </reference>
          <reference field="3" count="1" selected="0">
            <x v="0"/>
          </reference>
        </references>
      </pivotArea>
    </chartFormat>
    <chartFormat chart="8" format="2" series="1">
      <pivotArea type="data" outline="0" fieldPosition="0">
        <references count="2">
          <reference field="4294967294" count="1" selected="0">
            <x v="0"/>
          </reference>
          <reference field="3" count="1" selected="0">
            <x v="1"/>
          </reference>
        </references>
      </pivotArea>
    </chartFormat>
    <chartFormat chart="8" format="3" series="1">
      <pivotArea type="data" outline="0" fieldPosition="0">
        <references count="2">
          <reference field="4294967294" count="1" selected="0">
            <x v="1"/>
          </reference>
          <reference field="3" count="1" selected="0">
            <x v="1"/>
          </reference>
        </references>
      </pivotArea>
    </chartFormat>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1"/>
          </reference>
          <reference field="3" count="1" selected="0">
            <x v="0"/>
          </reference>
        </references>
      </pivotArea>
    </chartFormat>
    <chartFormat chart="9" format="6" series="1">
      <pivotArea type="data" outline="0" fieldPosition="0">
        <references count="2">
          <reference field="4294967294" count="1" selected="0">
            <x v="0"/>
          </reference>
          <reference field="3" count="1" selected="0">
            <x v="1"/>
          </reference>
        </references>
      </pivotArea>
    </chartFormat>
    <chartFormat chart="9" format="7" series="1">
      <pivotArea type="data" outline="0" fieldPosition="0">
        <references count="2">
          <reference field="4294967294" count="1" selected="0">
            <x v="1"/>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1"/>
          </reference>
          <reference field="3" count="1" selected="0">
            <x v="0"/>
          </reference>
        </references>
      </pivotArea>
    </chartFormat>
    <chartFormat chart="10" format="10" series="1">
      <pivotArea type="data" outline="0" fieldPosition="0">
        <references count="2">
          <reference field="4294967294" count="1" selected="0">
            <x v="0"/>
          </reference>
          <reference field="3" count="1" selected="0">
            <x v="1"/>
          </reference>
        </references>
      </pivotArea>
    </chartFormat>
    <chartFormat chart="10" format="11" series="1">
      <pivotArea type="data" outline="0" fieldPosition="0">
        <references count="2">
          <reference field="4294967294" count="1" selected="0">
            <x v="1"/>
          </reference>
          <reference field="3" count="1" selected="0">
            <x v="1"/>
          </reference>
        </references>
      </pivotArea>
    </chartFormat>
    <chartFormat chart="11" format="8" series="1">
      <pivotArea type="data" outline="0" fieldPosition="0">
        <references count="2">
          <reference field="4294967294" count="1" selected="0">
            <x v="0"/>
          </reference>
          <reference field="3" count="1" selected="0">
            <x v="0"/>
          </reference>
        </references>
      </pivotArea>
    </chartFormat>
    <chartFormat chart="11" format="9" series="1">
      <pivotArea type="data" outline="0" fieldPosition="0">
        <references count="2">
          <reference field="4294967294" count="1" selected="0">
            <x v="1"/>
          </reference>
          <reference field="3" count="1" selected="0">
            <x v="0"/>
          </reference>
        </references>
      </pivotArea>
    </chartFormat>
    <chartFormat chart="11" format="10" series="1">
      <pivotArea type="data" outline="0" fieldPosition="0">
        <references count="2">
          <reference field="4294967294" count="1" selected="0">
            <x v="0"/>
          </reference>
          <reference field="3" count="1" selected="0">
            <x v="1"/>
          </reference>
        </references>
      </pivotArea>
    </chartFormat>
    <chartFormat chart="11" format="11" series="1">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5642D30-B28F-40D2-B32D-8B5AF0AB4910}" sourceName="Product">
  <pivotTables>
    <pivotTable tabId="4" name="PivotTable2"/>
    <pivotTable tabId="2" name="PivotTable1"/>
  </pivotTables>
  <data>
    <tabular pivotCacheId="557026970">
      <items count="15">
        <i x="10"/>
        <i x="12"/>
        <i x="14" s="1"/>
        <i x="2"/>
        <i x="6"/>
        <i x="0"/>
        <i x="1"/>
        <i x="5"/>
        <i x="8"/>
        <i x="3"/>
        <i x="9"/>
        <i x="13"/>
        <i x="7"/>
        <i x="4"/>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E893B31-CF20-465B-A8E4-0F5D48DC6F19}"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6C5F49-5C64-41D5-9568-0120655276B1}" name="Table1" displayName="Table1" ref="A4:M19" totalsRowShown="0" headerRowDxfId="27" dataDxfId="25" headerRowBorderDxfId="26" tableBorderDxfId="24" totalsRowBorderDxfId="23">
  <autoFilter ref="A4:M19" xr:uid="{0A6C5F49-5C64-41D5-9568-0120655276B1}"/>
  <tableColumns count="13">
    <tableColumn id="1" xr3:uid="{2FE12D7F-ADB6-4F51-88C2-6148DA99B9B5}" name="Order_ID" dataDxfId="22" totalsRowDxfId="21"/>
    <tableColumn id="2" xr3:uid="{BFB2F649-5DC5-49E8-913F-748B856051F5}" name="Order_Date" dataDxfId="20" totalsRowDxfId="19"/>
    <tableColumn id="3" xr3:uid="{25D19361-D5DE-4C1E-8A32-3D1B848E4179}" name="Product" dataDxfId="18" totalsRowDxfId="17"/>
    <tableColumn id="4" xr3:uid="{51410B88-CBCD-49F0-8816-61110A3AEE4F}" name="Category" dataDxfId="16" totalsRowDxfId="15"/>
    <tableColumn id="5" xr3:uid="{73EB7219-3DD0-4952-80C8-F1AEA867AA45}" name="City" dataDxfId="14" totalsRowDxfId="13"/>
    <tableColumn id="6" xr3:uid="{0DA9511D-6F5A-4842-BB56-CB7495EE5F0B}" name="Sales_Amount" dataDxfId="12" totalsRowDxfId="11"/>
    <tableColumn id="7" xr3:uid="{BC28AC16-2475-4DA2-B06C-ACF290FFAECA}" name="Quantity" dataDxfId="10" totalsRowDxfId="9"/>
    <tableColumn id="8" xr3:uid="{B788CC8B-54B3-4FE0-8873-A48F4A04FFA0}" name="Payment_Mode" dataDxfId="8" totalsRowDxfId="7"/>
    <tableColumn id="9" xr3:uid="{D87FF7C3-B3B3-4FA0-B991-59DB6438FBFB}" name="Sales_Total" dataDxfId="6" totalsRowDxfId="5">
      <calculatedColumnFormula>F5*G5</calculatedColumnFormula>
    </tableColumn>
    <tableColumn id="10" xr3:uid="{C0E94C4E-76FF-4A02-93C2-13F614125D7E}" name="Month_Column" dataDxfId="4" totalsRowDxfId="3">
      <calculatedColumnFormula>TEXT(B5,"mmm-yyyy")</calculatedColumnFormula>
    </tableColumn>
    <tableColumn id="11" xr3:uid="{91A1CD72-B358-4A15-96BD-F4D0557267E0}" name="Sales Performance" dataDxfId="2">
      <calculatedColumnFormula>IF(I2&gt;20000,"HIGH","LOW")</calculatedColumnFormula>
    </tableColumn>
    <tableColumn id="12" xr3:uid="{DE7142B5-05F0-40B9-B3F4-6A5CA1F57B0F}" name="Sales Grade" dataDxfId="1">
      <calculatedColumnFormula>_xlfn.IFS(I2&gt;50000,"Execellent",I2&gt;20000,"Good",TRUE,"Average")</calculatedColumnFormula>
    </tableColumn>
    <tableColumn id="13" xr3:uid="{3F75A994-F385-43FE-A4F5-310FED1A3DE8}" name="Avoid Errors" dataDxfId="0">
      <calculatedColumnFormula>IFERROR(I2/G2,0)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369B-5674-4B58-AECB-F1545CCD5BA7}">
  <dimension ref="A1:AL43"/>
  <sheetViews>
    <sheetView zoomScale="66" zoomScaleNormal="80" workbookViewId="0">
      <selection activeCell="F16" sqref="F16"/>
    </sheetView>
  </sheetViews>
  <sheetFormatPr defaultRowHeight="14.4" x14ac:dyDescent="0.3"/>
  <cols>
    <col min="1" max="1" width="19.5546875" style="3" bestFit="1" customWidth="1"/>
    <col min="2" max="2" width="22.109375" style="4" bestFit="1" customWidth="1"/>
    <col min="3" max="3" width="18.21875" style="3" bestFit="1" customWidth="1"/>
    <col min="4" max="4" width="19.33203125" style="3" customWidth="1"/>
    <col min="5" max="5" width="13.6640625" style="3" customWidth="1"/>
    <col min="6" max="6" width="25.88671875" style="5" bestFit="1" customWidth="1"/>
    <col min="7" max="7" width="18.88671875" style="5" bestFit="1" customWidth="1"/>
    <col min="8" max="8" width="26.88671875" style="3" bestFit="1" customWidth="1"/>
    <col min="9" max="9" width="22.88671875" style="3" bestFit="1" customWidth="1"/>
    <col min="10" max="10" width="26.6640625" style="3" bestFit="1" customWidth="1"/>
    <col min="11" max="11" width="31.33203125" style="3" bestFit="1" customWidth="1"/>
    <col min="12" max="12" width="23.44140625" style="3" bestFit="1" customWidth="1"/>
    <col min="13" max="13" width="23.88671875" style="3" bestFit="1" customWidth="1"/>
    <col min="14" max="14" width="18.88671875" style="3" customWidth="1"/>
    <col min="15" max="15" width="8.88671875" style="3"/>
    <col min="16" max="16" width="32.44140625" style="3" bestFit="1" customWidth="1"/>
    <col min="17" max="17" width="36.88671875" style="3" bestFit="1" customWidth="1"/>
    <col min="18" max="18" width="22.33203125" style="3" customWidth="1"/>
    <col min="19" max="20" width="8.88671875" style="3"/>
    <col min="21" max="21" width="33.6640625" style="3" bestFit="1" customWidth="1"/>
    <col min="22" max="22" width="30.88671875" style="3" bestFit="1" customWidth="1"/>
    <col min="23" max="23" width="8.88671875" style="3"/>
    <col min="24" max="24" width="36.33203125" style="3" bestFit="1" customWidth="1"/>
    <col min="25" max="25" width="26" style="3" bestFit="1" customWidth="1"/>
    <col min="26" max="26" width="49.44140625" style="3" customWidth="1"/>
    <col min="27" max="27" width="8.88671875" style="3"/>
    <col min="28" max="28" width="9.5546875" style="3" customWidth="1"/>
    <col min="29" max="29" width="20.33203125" style="3" customWidth="1"/>
    <col min="30" max="30" width="16.33203125" style="3" bestFit="1" customWidth="1"/>
    <col min="31" max="31" width="26.88671875" style="3" bestFit="1" customWidth="1"/>
    <col min="32" max="16384" width="8.88671875" style="3"/>
  </cols>
  <sheetData>
    <row r="1" spans="1:38" ht="15" customHeight="1" thickBot="1" x14ac:dyDescent="0.35">
      <c r="B1" s="43"/>
      <c r="C1" s="43"/>
      <c r="D1" s="43"/>
      <c r="E1" s="43"/>
      <c r="F1" s="43"/>
      <c r="G1" s="43"/>
      <c r="H1" s="43"/>
      <c r="I1" s="43"/>
      <c r="J1" s="43"/>
      <c r="K1" s="43"/>
      <c r="L1" s="43"/>
      <c r="M1" s="43"/>
      <c r="O1" s="29"/>
      <c r="AA1" s="26"/>
      <c r="AG1" s="26"/>
    </row>
    <row r="2" spans="1:38" ht="28.2" thickBot="1" x14ac:dyDescent="0.7">
      <c r="A2" s="54" t="s">
        <v>85</v>
      </c>
      <c r="B2" s="55"/>
      <c r="C2" s="55"/>
      <c r="D2" s="55"/>
      <c r="E2" s="55"/>
      <c r="F2" s="55"/>
      <c r="G2" s="55"/>
      <c r="H2" s="55"/>
      <c r="I2" s="55"/>
      <c r="J2" s="55"/>
      <c r="K2" s="55"/>
      <c r="L2" s="55"/>
      <c r="M2" s="56"/>
      <c r="O2" s="29"/>
      <c r="P2" s="48" t="s">
        <v>51</v>
      </c>
      <c r="Q2" s="49"/>
      <c r="R2" s="49"/>
      <c r="S2" s="49"/>
      <c r="T2" s="49"/>
      <c r="U2" s="49"/>
      <c r="V2" s="49"/>
      <c r="W2" s="49"/>
      <c r="X2" s="49"/>
      <c r="Y2" s="49"/>
      <c r="Z2" s="50"/>
      <c r="AA2" s="24"/>
      <c r="AB2" s="60" t="s">
        <v>84</v>
      </c>
      <c r="AC2" s="61"/>
      <c r="AD2" s="61"/>
      <c r="AE2" s="61"/>
      <c r="AF2" s="62"/>
      <c r="AG2" s="35"/>
      <c r="AH2" s="33"/>
      <c r="AI2" s="33"/>
      <c r="AJ2" s="33"/>
      <c r="AK2" s="33"/>
      <c r="AL2" s="33"/>
    </row>
    <row r="3" spans="1:38" ht="15" thickBot="1" x14ac:dyDescent="0.35">
      <c r="B3" s="3"/>
      <c r="F3" s="3"/>
      <c r="G3" s="3"/>
      <c r="O3" s="29"/>
      <c r="S3" s="25"/>
      <c r="W3" s="25"/>
      <c r="AA3" s="26"/>
      <c r="AG3" s="26"/>
    </row>
    <row r="4" spans="1:38" ht="18.600000000000001" thickBot="1" x14ac:dyDescent="0.35">
      <c r="A4" s="12" t="s">
        <v>0</v>
      </c>
      <c r="B4" s="13" t="s">
        <v>1</v>
      </c>
      <c r="C4" s="14" t="s">
        <v>2</v>
      </c>
      <c r="D4" s="14" t="s">
        <v>3</v>
      </c>
      <c r="E4" s="14" t="s">
        <v>4</v>
      </c>
      <c r="F4" s="15" t="s">
        <v>5</v>
      </c>
      <c r="G4" s="15" t="s">
        <v>6</v>
      </c>
      <c r="H4" s="14" t="s">
        <v>7</v>
      </c>
      <c r="I4" s="14" t="s">
        <v>54</v>
      </c>
      <c r="J4" s="14" t="s">
        <v>49</v>
      </c>
      <c r="K4" s="14" t="s">
        <v>87</v>
      </c>
      <c r="L4" s="14" t="s">
        <v>89</v>
      </c>
      <c r="M4" s="16" t="s">
        <v>91</v>
      </c>
      <c r="N4" s="2"/>
      <c r="O4" s="29"/>
      <c r="P4" s="45" t="s">
        <v>52</v>
      </c>
      <c r="Q4" s="46"/>
      <c r="R4" s="47"/>
      <c r="T4" s="45" t="s">
        <v>61</v>
      </c>
      <c r="U4" s="46"/>
      <c r="V4" s="47"/>
      <c r="X4" s="45" t="s">
        <v>68</v>
      </c>
      <c r="Y4" s="46"/>
      <c r="Z4" s="47"/>
      <c r="AA4" s="26"/>
      <c r="AC4" s="57" t="s">
        <v>86</v>
      </c>
      <c r="AD4" s="58"/>
      <c r="AE4" s="59"/>
      <c r="AG4" s="26"/>
    </row>
    <row r="5" spans="1:38" ht="15" thickBot="1" x14ac:dyDescent="0.35">
      <c r="A5" s="17" t="s">
        <v>8</v>
      </c>
      <c r="B5" s="18">
        <v>45292</v>
      </c>
      <c r="C5" s="9" t="s">
        <v>9</v>
      </c>
      <c r="D5" s="9" t="s">
        <v>10</v>
      </c>
      <c r="E5" s="9" t="s">
        <v>11</v>
      </c>
      <c r="F5" s="7">
        <v>55000</v>
      </c>
      <c r="G5" s="7">
        <v>1</v>
      </c>
      <c r="H5" s="9" t="s">
        <v>12</v>
      </c>
      <c r="I5" s="9">
        <f t="shared" ref="I5:I19" si="0">F5*G5</f>
        <v>55000</v>
      </c>
      <c r="J5" s="9" t="str">
        <f>TEXT(B5,"mmm-yyyy")</f>
        <v>Jan-2024</v>
      </c>
      <c r="K5" s="9" t="str">
        <f t="shared" ref="K5:K19" si="1">IF(I2&gt;20000,"HIGH","LOW")</f>
        <v>LOW</v>
      </c>
      <c r="L5" s="9" t="str">
        <f t="shared" ref="L5:L19" si="2">_xlfn.IFS(I2&gt;50000,"Execellent",I2&gt;20000,"Good",TRUE,"Average")</f>
        <v>Average</v>
      </c>
      <c r="M5" s="19">
        <f>IFERROR(I2/G2,0)</f>
        <v>0</v>
      </c>
      <c r="O5" s="30"/>
      <c r="S5" s="26"/>
      <c r="W5" s="26"/>
      <c r="AA5" s="26"/>
      <c r="AG5" s="26"/>
    </row>
    <row r="6" spans="1:38" ht="15" thickBot="1" x14ac:dyDescent="0.35">
      <c r="A6" s="17" t="s">
        <v>13</v>
      </c>
      <c r="B6" s="18">
        <v>45293</v>
      </c>
      <c r="C6" s="9" t="s">
        <v>14</v>
      </c>
      <c r="D6" s="9" t="s">
        <v>10</v>
      </c>
      <c r="E6" s="9" t="s">
        <v>15</v>
      </c>
      <c r="F6" s="7">
        <v>20000</v>
      </c>
      <c r="G6" s="7">
        <v>2</v>
      </c>
      <c r="H6" s="9" t="s">
        <v>16</v>
      </c>
      <c r="I6" s="9">
        <f t="shared" si="0"/>
        <v>40000</v>
      </c>
      <c r="J6" s="9" t="str">
        <f>TEXT(B6,"mmm-yyyy")</f>
        <v>Jan-2024</v>
      </c>
      <c r="K6" s="9" t="str">
        <f t="shared" si="1"/>
        <v>LOW</v>
      </c>
      <c r="L6" s="9" t="str">
        <f t="shared" si="2"/>
        <v>Average</v>
      </c>
      <c r="M6" s="19">
        <f t="shared" ref="M6:M19" si="3">IFERROR(I3/G3,0)</f>
        <v>0</v>
      </c>
      <c r="O6" s="29"/>
      <c r="Q6" s="37" t="s">
        <v>50</v>
      </c>
      <c r="S6" s="26"/>
      <c r="U6" s="40" t="s">
        <v>62</v>
      </c>
      <c r="W6" s="26"/>
      <c r="Y6" s="37" t="s">
        <v>50</v>
      </c>
      <c r="AA6" s="26"/>
      <c r="AD6" s="41" t="s">
        <v>87</v>
      </c>
      <c r="AG6" s="26"/>
    </row>
    <row r="7" spans="1:38" x14ac:dyDescent="0.3">
      <c r="A7" s="17" t="s">
        <v>17</v>
      </c>
      <c r="B7" s="18">
        <v>45294</v>
      </c>
      <c r="C7" s="9" t="s">
        <v>18</v>
      </c>
      <c r="D7" s="9" t="s">
        <v>10</v>
      </c>
      <c r="E7" s="9" t="s">
        <v>19</v>
      </c>
      <c r="F7" s="7">
        <v>3000</v>
      </c>
      <c r="G7" s="7">
        <v>3</v>
      </c>
      <c r="H7" s="9" t="s">
        <v>20</v>
      </c>
      <c r="I7" s="9">
        <f t="shared" si="0"/>
        <v>9000</v>
      </c>
      <c r="J7" s="9" t="str">
        <f t="shared" ref="J7:J19" si="4">TEXT(B7,"mmm-yyyy")</f>
        <v>Jan-2024</v>
      </c>
      <c r="K7" s="9" t="str">
        <f t="shared" si="1"/>
        <v>HIGH</v>
      </c>
      <c r="L7" s="9" t="str">
        <f t="shared" si="2"/>
        <v>Execellent</v>
      </c>
      <c r="M7" s="19">
        <f t="shared" si="3"/>
        <v>0</v>
      </c>
      <c r="O7" s="29"/>
      <c r="P7" s="31" t="s">
        <v>57</v>
      </c>
      <c r="Q7" s="36">
        <f>SUM(F5:F19)</f>
        <v>278700</v>
      </c>
      <c r="R7" s="8" t="s">
        <v>101</v>
      </c>
      <c r="S7" s="26"/>
      <c r="U7" s="38">
        <f>SUMIF(D5:D19,"Electronics",I5:I19)</f>
        <v>206600</v>
      </c>
      <c r="V7" s="8" t="s">
        <v>112</v>
      </c>
      <c r="W7" s="26"/>
      <c r="X7" s="32" t="s">
        <v>70</v>
      </c>
      <c r="Y7" s="36">
        <f>AVERAGE(F5:F19)</f>
        <v>18580</v>
      </c>
      <c r="Z7" s="8" t="s">
        <v>113</v>
      </c>
      <c r="AA7" s="26"/>
      <c r="AD7" s="38" t="str">
        <f>IF(I2&gt;20000,"HIGH","LOW")</f>
        <v>LOW</v>
      </c>
      <c r="AE7" s="8" t="s">
        <v>90</v>
      </c>
      <c r="AG7" s="26"/>
    </row>
    <row r="8" spans="1:38" ht="29.4" thickBot="1" x14ac:dyDescent="0.35">
      <c r="A8" s="17" t="s">
        <v>21</v>
      </c>
      <c r="B8" s="18">
        <v>45295</v>
      </c>
      <c r="C8" s="9" t="s">
        <v>22</v>
      </c>
      <c r="D8" s="9" t="s">
        <v>23</v>
      </c>
      <c r="E8" s="9" t="s">
        <v>24</v>
      </c>
      <c r="F8" s="7">
        <v>7000</v>
      </c>
      <c r="G8" s="7">
        <v>1</v>
      </c>
      <c r="H8" s="9" t="s">
        <v>12</v>
      </c>
      <c r="I8" s="9">
        <f t="shared" si="0"/>
        <v>7000</v>
      </c>
      <c r="J8" s="9" t="str">
        <f t="shared" si="4"/>
        <v>Jan-2024</v>
      </c>
      <c r="K8" s="9" t="str">
        <f t="shared" si="1"/>
        <v>HIGH</v>
      </c>
      <c r="L8" s="9" t="str">
        <f t="shared" si="2"/>
        <v>Execellent</v>
      </c>
      <c r="M8" s="19">
        <f>IFERROR(I5/G5,0)</f>
        <v>55000</v>
      </c>
      <c r="O8" s="29"/>
      <c r="P8" s="31" t="s">
        <v>58</v>
      </c>
      <c r="Q8" s="9">
        <f>SUM(Sales_Amount)</f>
        <v>278700</v>
      </c>
      <c r="R8" s="8" t="s">
        <v>56</v>
      </c>
      <c r="S8" s="26"/>
      <c r="W8" s="26"/>
      <c r="X8" s="32" t="s">
        <v>71</v>
      </c>
      <c r="Y8" s="9">
        <f>AVERAGE(Sales_Amount)</f>
        <v>18580</v>
      </c>
      <c r="Z8" s="8" t="s">
        <v>72</v>
      </c>
      <c r="AA8" s="26"/>
      <c r="AG8" s="26"/>
    </row>
    <row r="9" spans="1:38" ht="18.600000000000001" thickBot="1" x14ac:dyDescent="0.35">
      <c r="A9" s="17" t="s">
        <v>25</v>
      </c>
      <c r="B9" s="18">
        <v>45296</v>
      </c>
      <c r="C9" s="9" t="s">
        <v>26</v>
      </c>
      <c r="D9" s="9" t="s">
        <v>23</v>
      </c>
      <c r="E9" s="9" t="s">
        <v>27</v>
      </c>
      <c r="F9" s="7">
        <v>12000</v>
      </c>
      <c r="G9" s="7">
        <v>1</v>
      </c>
      <c r="H9" s="9" t="s">
        <v>28</v>
      </c>
      <c r="I9" s="9">
        <f t="shared" si="0"/>
        <v>12000</v>
      </c>
      <c r="J9" s="9" t="str">
        <f t="shared" si="4"/>
        <v>Jan-2024</v>
      </c>
      <c r="K9" s="9" t="str">
        <f t="shared" si="1"/>
        <v>HIGH</v>
      </c>
      <c r="L9" s="9" t="str">
        <f t="shared" si="2"/>
        <v>Good</v>
      </c>
      <c r="M9" s="19">
        <f t="shared" si="3"/>
        <v>20000</v>
      </c>
      <c r="O9" s="29"/>
      <c r="P9" s="1"/>
      <c r="S9" s="26"/>
      <c r="U9" s="40" t="s">
        <v>63</v>
      </c>
      <c r="W9" s="26"/>
      <c r="X9" s="1"/>
      <c r="AA9" s="26"/>
      <c r="AC9" s="57" t="s">
        <v>88</v>
      </c>
      <c r="AD9" s="58"/>
      <c r="AE9" s="59"/>
      <c r="AG9" s="26"/>
    </row>
    <row r="10" spans="1:38" ht="15" thickBot="1" x14ac:dyDescent="0.35">
      <c r="A10" s="17" t="s">
        <v>29</v>
      </c>
      <c r="B10" s="18">
        <v>45297</v>
      </c>
      <c r="C10" s="9" t="s">
        <v>30</v>
      </c>
      <c r="D10" s="9" t="s">
        <v>10</v>
      </c>
      <c r="E10" s="9" t="s">
        <v>11</v>
      </c>
      <c r="F10" s="7">
        <v>15000</v>
      </c>
      <c r="G10" s="7">
        <v>2</v>
      </c>
      <c r="H10" s="9" t="s">
        <v>12</v>
      </c>
      <c r="I10" s="9">
        <f t="shared" si="0"/>
        <v>30000</v>
      </c>
      <c r="J10" s="9" t="str">
        <f t="shared" si="4"/>
        <v>Jan-2024</v>
      </c>
      <c r="K10" s="9" t="str">
        <f t="shared" si="1"/>
        <v>LOW</v>
      </c>
      <c r="L10" s="9" t="str">
        <f t="shared" si="2"/>
        <v>Average</v>
      </c>
      <c r="M10" s="19">
        <f t="shared" si="3"/>
        <v>3000</v>
      </c>
      <c r="O10" s="29"/>
      <c r="P10" s="1"/>
      <c r="Q10" s="37" t="s">
        <v>55</v>
      </c>
      <c r="S10" s="26"/>
      <c r="U10" s="38">
        <f>SUMIF(E5:E19,"Mumbai",I5:I19)</f>
        <v>120000</v>
      </c>
      <c r="V10" s="8" t="s">
        <v>111</v>
      </c>
      <c r="W10" s="26"/>
      <c r="X10" s="1"/>
      <c r="Y10" s="37" t="s">
        <v>55</v>
      </c>
      <c r="AA10" s="26"/>
      <c r="AG10" s="26"/>
    </row>
    <row r="11" spans="1:38" ht="22.8" customHeight="1" thickBot="1" x14ac:dyDescent="0.35">
      <c r="A11" s="17" t="s">
        <v>31</v>
      </c>
      <c r="B11" s="18">
        <v>45298</v>
      </c>
      <c r="C11" s="9" t="s">
        <v>32</v>
      </c>
      <c r="D11" s="9" t="s">
        <v>10</v>
      </c>
      <c r="E11" s="9" t="s">
        <v>15</v>
      </c>
      <c r="F11" s="7">
        <v>2500</v>
      </c>
      <c r="G11" s="7">
        <v>2</v>
      </c>
      <c r="H11" s="9" t="s">
        <v>16</v>
      </c>
      <c r="I11" s="9">
        <f t="shared" si="0"/>
        <v>5000</v>
      </c>
      <c r="J11" s="9" t="str">
        <f t="shared" si="4"/>
        <v>Jan-2024</v>
      </c>
      <c r="K11" s="9" t="str">
        <f t="shared" si="1"/>
        <v>LOW</v>
      </c>
      <c r="L11" s="9" t="str">
        <f t="shared" si="2"/>
        <v>Average</v>
      </c>
      <c r="M11" s="19">
        <f t="shared" si="3"/>
        <v>7000</v>
      </c>
      <c r="O11" s="29"/>
      <c r="P11" s="31" t="s">
        <v>57</v>
      </c>
      <c r="Q11" s="38">
        <f>SUM(I5:I19)</f>
        <v>336600</v>
      </c>
      <c r="R11" s="8" t="s">
        <v>102</v>
      </c>
      <c r="S11" s="26"/>
      <c r="W11" s="26"/>
      <c r="X11" s="32" t="s">
        <v>70</v>
      </c>
      <c r="Y11" s="38">
        <f>AVERAGE(I5:I19)</f>
        <v>22440</v>
      </c>
      <c r="Z11" s="8" t="s">
        <v>114</v>
      </c>
      <c r="AA11" s="26"/>
      <c r="AD11" s="37" t="s">
        <v>89</v>
      </c>
      <c r="AG11" s="26"/>
    </row>
    <row r="12" spans="1:38" ht="29.4" thickBot="1" x14ac:dyDescent="0.35">
      <c r="A12" s="17" t="s">
        <v>33</v>
      </c>
      <c r="B12" s="18">
        <v>45299</v>
      </c>
      <c r="C12" s="9" t="s">
        <v>34</v>
      </c>
      <c r="D12" s="9" t="s">
        <v>23</v>
      </c>
      <c r="E12" s="9" t="s">
        <v>19</v>
      </c>
      <c r="F12" s="7">
        <v>40000</v>
      </c>
      <c r="G12" s="7">
        <v>1</v>
      </c>
      <c r="H12" s="9" t="s">
        <v>12</v>
      </c>
      <c r="I12" s="9">
        <f t="shared" si="0"/>
        <v>40000</v>
      </c>
      <c r="J12" s="9" t="str">
        <f t="shared" si="4"/>
        <v>Jan-2024</v>
      </c>
      <c r="K12" s="9" t="str">
        <f t="shared" si="1"/>
        <v>LOW</v>
      </c>
      <c r="L12" s="9" t="str">
        <f t="shared" si="2"/>
        <v>Average</v>
      </c>
      <c r="M12" s="19">
        <f t="shared" si="3"/>
        <v>12000</v>
      </c>
      <c r="O12" s="29"/>
      <c r="P12" s="31" t="s">
        <v>58</v>
      </c>
      <c r="Q12" s="9">
        <f>SUM(Sales_Total)</f>
        <v>336600</v>
      </c>
      <c r="R12" s="8" t="s">
        <v>59</v>
      </c>
      <c r="S12" s="26"/>
      <c r="U12" s="40" t="s">
        <v>64</v>
      </c>
      <c r="W12" s="26"/>
      <c r="X12" s="32" t="s">
        <v>71</v>
      </c>
      <c r="Y12" s="9">
        <f>AVERAGE(Sales_Total)</f>
        <v>22440</v>
      </c>
      <c r="Z12" s="8" t="s">
        <v>69</v>
      </c>
      <c r="AA12" s="26"/>
      <c r="AD12" s="38" t="str">
        <f>_xlfn.IFS(I2&gt;50000,"Execellent",I2&gt;20000,"Good",TRUE,"Average")</f>
        <v>Average</v>
      </c>
      <c r="AE12" s="11" t="s">
        <v>118</v>
      </c>
      <c r="AG12" s="26"/>
    </row>
    <row r="13" spans="1:38" ht="15" thickBot="1" x14ac:dyDescent="0.35">
      <c r="A13" s="17" t="s">
        <v>35</v>
      </c>
      <c r="B13" s="18">
        <v>45300</v>
      </c>
      <c r="C13" s="9" t="s">
        <v>36</v>
      </c>
      <c r="D13" s="9" t="s">
        <v>10</v>
      </c>
      <c r="E13" s="9" t="s">
        <v>24</v>
      </c>
      <c r="F13" s="7">
        <v>1200</v>
      </c>
      <c r="G13" s="7">
        <v>3</v>
      </c>
      <c r="H13" s="9" t="s">
        <v>20</v>
      </c>
      <c r="I13" s="9">
        <f t="shared" si="0"/>
        <v>3600</v>
      </c>
      <c r="J13" s="9" t="str">
        <f t="shared" si="4"/>
        <v>Jan-2024</v>
      </c>
      <c r="K13" s="9" t="str">
        <f t="shared" si="1"/>
        <v>HIGH</v>
      </c>
      <c r="L13" s="9" t="str">
        <f t="shared" si="2"/>
        <v>Good</v>
      </c>
      <c r="M13" s="19">
        <f t="shared" si="3"/>
        <v>15000</v>
      </c>
      <c r="O13" s="29"/>
      <c r="P13" s="1"/>
      <c r="S13" s="26"/>
      <c r="U13" s="38">
        <f>SUMIF(J5:J19,"Jan-2024",I5:I19)</f>
        <v>336600</v>
      </c>
      <c r="V13" s="8" t="s">
        <v>110</v>
      </c>
      <c r="W13" s="26"/>
      <c r="AA13" s="26"/>
      <c r="AG13" s="26"/>
    </row>
    <row r="14" spans="1:38" ht="18.600000000000001" thickBot="1" x14ac:dyDescent="0.35">
      <c r="A14" s="17" t="s">
        <v>37</v>
      </c>
      <c r="B14" s="18">
        <v>45301</v>
      </c>
      <c r="C14" s="9" t="s">
        <v>38</v>
      </c>
      <c r="D14" s="9" t="s">
        <v>10</v>
      </c>
      <c r="E14" s="9" t="s">
        <v>27</v>
      </c>
      <c r="F14" s="7">
        <v>18000</v>
      </c>
      <c r="G14" s="7">
        <v>1</v>
      </c>
      <c r="H14" s="9" t="s">
        <v>28</v>
      </c>
      <c r="I14" s="9">
        <f t="shared" si="0"/>
        <v>18000</v>
      </c>
      <c r="J14" s="9" t="str">
        <f t="shared" si="4"/>
        <v>Jan-2024</v>
      </c>
      <c r="K14" s="9" t="str">
        <f t="shared" si="1"/>
        <v>LOW</v>
      </c>
      <c r="L14" s="9" t="str">
        <f t="shared" si="2"/>
        <v>Average</v>
      </c>
      <c r="M14" s="19">
        <f t="shared" si="3"/>
        <v>2500</v>
      </c>
      <c r="O14" s="29"/>
      <c r="P14" s="1"/>
      <c r="Q14" s="37" t="s">
        <v>53</v>
      </c>
      <c r="S14" s="26"/>
      <c r="W14" s="26"/>
      <c r="AA14" s="26"/>
      <c r="AC14" s="57" t="s">
        <v>92</v>
      </c>
      <c r="AD14" s="58"/>
      <c r="AE14" s="59"/>
      <c r="AG14" s="26"/>
    </row>
    <row r="15" spans="1:38" ht="23.4" customHeight="1" thickBot="1" x14ac:dyDescent="0.35">
      <c r="A15" s="17" t="s">
        <v>39</v>
      </c>
      <c r="B15" s="18">
        <v>45302</v>
      </c>
      <c r="C15" s="9" t="s">
        <v>40</v>
      </c>
      <c r="D15" s="9" t="s">
        <v>23</v>
      </c>
      <c r="E15" s="9" t="s">
        <v>11</v>
      </c>
      <c r="F15" s="7">
        <v>35000</v>
      </c>
      <c r="G15" s="7">
        <v>1</v>
      </c>
      <c r="H15" s="9" t="s">
        <v>12</v>
      </c>
      <c r="I15" s="9">
        <f t="shared" si="0"/>
        <v>35000</v>
      </c>
      <c r="J15" s="9" t="str">
        <f t="shared" si="4"/>
        <v>Jan-2024</v>
      </c>
      <c r="K15" s="9" t="str">
        <f t="shared" si="1"/>
        <v>HIGH</v>
      </c>
      <c r="L15" s="9" t="str">
        <f t="shared" si="2"/>
        <v>Good</v>
      </c>
      <c r="M15" s="19">
        <f t="shared" si="3"/>
        <v>40000</v>
      </c>
      <c r="O15" s="29"/>
      <c r="P15" s="31" t="s">
        <v>57</v>
      </c>
      <c r="Q15" s="36">
        <f>SUM(G5:G19)</f>
        <v>23</v>
      </c>
      <c r="R15" s="8" t="s">
        <v>103</v>
      </c>
      <c r="S15" s="26"/>
      <c r="U15" s="40" t="s">
        <v>65</v>
      </c>
      <c r="X15" s="45" t="s">
        <v>76</v>
      </c>
      <c r="Y15" s="46"/>
      <c r="Z15" s="47"/>
      <c r="AA15" s="26"/>
      <c r="AG15" s="26"/>
    </row>
    <row r="16" spans="1:38" ht="24" customHeight="1" thickBot="1" x14ac:dyDescent="0.35">
      <c r="A16" s="17" t="s">
        <v>41</v>
      </c>
      <c r="B16" s="18">
        <v>45303</v>
      </c>
      <c r="C16" s="9" t="s">
        <v>42</v>
      </c>
      <c r="D16" s="9" t="s">
        <v>10</v>
      </c>
      <c r="E16" s="9" t="s">
        <v>15</v>
      </c>
      <c r="F16" s="7">
        <v>22000</v>
      </c>
      <c r="G16" s="7">
        <v>1</v>
      </c>
      <c r="H16" s="9" t="s">
        <v>16</v>
      </c>
      <c r="I16" s="9">
        <f t="shared" si="0"/>
        <v>22000</v>
      </c>
      <c r="J16" s="9" t="str">
        <f t="shared" si="4"/>
        <v>Jan-2024</v>
      </c>
      <c r="K16" s="9" t="str">
        <f t="shared" si="1"/>
        <v>LOW</v>
      </c>
      <c r="L16" s="9" t="str">
        <f t="shared" si="2"/>
        <v>Average</v>
      </c>
      <c r="M16" s="19">
        <f t="shared" si="3"/>
        <v>1200</v>
      </c>
      <c r="O16" s="29"/>
      <c r="P16" s="31" t="s">
        <v>58</v>
      </c>
      <c r="Q16" s="9">
        <f>SUM(Quantity)</f>
        <v>23</v>
      </c>
      <c r="R16" s="8" t="s">
        <v>60</v>
      </c>
      <c r="S16" s="26"/>
      <c r="U16" s="38">
        <f>SUMIF(C5:C19,"Laptop",I5:I19)</f>
        <v>55000</v>
      </c>
      <c r="V16" s="8" t="s">
        <v>109</v>
      </c>
      <c r="W16" s="26"/>
      <c r="AA16" s="26"/>
      <c r="AD16" s="37" t="s">
        <v>91</v>
      </c>
      <c r="AG16" s="26"/>
    </row>
    <row r="17" spans="1:33" ht="15" thickBot="1" x14ac:dyDescent="0.35">
      <c r="A17" s="17" t="s">
        <v>43</v>
      </c>
      <c r="B17" s="18">
        <v>45304</v>
      </c>
      <c r="C17" s="9" t="s">
        <v>44</v>
      </c>
      <c r="D17" s="9" t="s">
        <v>23</v>
      </c>
      <c r="E17" s="9" t="s">
        <v>19</v>
      </c>
      <c r="F17" s="7">
        <v>8000</v>
      </c>
      <c r="G17" s="7">
        <v>1</v>
      </c>
      <c r="H17" s="9" t="s">
        <v>20</v>
      </c>
      <c r="I17" s="9">
        <f t="shared" si="0"/>
        <v>8000</v>
      </c>
      <c r="J17" s="9" t="str">
        <f t="shared" si="4"/>
        <v>Jan-2024</v>
      </c>
      <c r="K17" s="9" t="str">
        <f t="shared" si="1"/>
        <v>LOW</v>
      </c>
      <c r="L17" s="9" t="str">
        <f t="shared" si="2"/>
        <v>Average</v>
      </c>
      <c r="M17" s="19">
        <f t="shared" si="3"/>
        <v>18000</v>
      </c>
      <c r="O17" s="29"/>
      <c r="P17" s="27"/>
      <c r="Q17" s="27"/>
      <c r="R17" s="27"/>
      <c r="S17" s="28"/>
      <c r="T17" s="27"/>
      <c r="U17" s="27"/>
      <c r="V17" s="27"/>
      <c r="W17" s="28"/>
      <c r="Y17" s="37" t="s">
        <v>77</v>
      </c>
      <c r="AA17" s="26"/>
      <c r="AD17" s="38">
        <f>IFERROR(I2/G2,0)</f>
        <v>0</v>
      </c>
      <c r="AE17" s="8" t="s">
        <v>96</v>
      </c>
      <c r="AG17" s="26"/>
    </row>
    <row r="18" spans="1:33" ht="15" thickBot="1" x14ac:dyDescent="0.35">
      <c r="A18" s="17" t="s">
        <v>45</v>
      </c>
      <c r="B18" s="18">
        <v>45305</v>
      </c>
      <c r="C18" s="9" t="s">
        <v>46</v>
      </c>
      <c r="D18" s="9" t="s">
        <v>10</v>
      </c>
      <c r="E18" s="9" t="s">
        <v>24</v>
      </c>
      <c r="F18" s="7">
        <v>12000</v>
      </c>
      <c r="G18" s="7">
        <v>2</v>
      </c>
      <c r="H18" s="9" t="s">
        <v>12</v>
      </c>
      <c r="I18" s="9">
        <f t="shared" si="0"/>
        <v>24000</v>
      </c>
      <c r="J18" s="9" t="str">
        <f t="shared" si="4"/>
        <v>Jan-2024</v>
      </c>
      <c r="K18" s="9" t="str">
        <f t="shared" si="1"/>
        <v>HIGH</v>
      </c>
      <c r="L18" s="9" t="str">
        <f t="shared" si="2"/>
        <v>Good</v>
      </c>
      <c r="M18" s="19">
        <f t="shared" si="3"/>
        <v>35000</v>
      </c>
      <c r="O18" s="29"/>
      <c r="S18" s="26"/>
      <c r="W18" s="26"/>
      <c r="Y18" s="38">
        <f>AVERAGEIFS(I5:I19,D5:D19,"Electronics",E5:E19,"Pune")</f>
        <v>22333.333333333332</v>
      </c>
      <c r="Z18" s="10" t="s">
        <v>115</v>
      </c>
      <c r="AA18" s="26"/>
      <c r="AB18" s="34"/>
      <c r="AC18" s="27"/>
      <c r="AD18" s="27"/>
      <c r="AE18" s="27"/>
      <c r="AG18" s="26"/>
    </row>
    <row r="19" spans="1:33" ht="18.600000000000001" thickBot="1" x14ac:dyDescent="0.35">
      <c r="A19" s="20" t="s">
        <v>47</v>
      </c>
      <c r="B19" s="21">
        <v>45306</v>
      </c>
      <c r="C19" s="22" t="s">
        <v>48</v>
      </c>
      <c r="D19" s="22" t="s">
        <v>23</v>
      </c>
      <c r="E19" s="22" t="s">
        <v>27</v>
      </c>
      <c r="F19" s="23">
        <v>28000</v>
      </c>
      <c r="G19" s="23">
        <v>1</v>
      </c>
      <c r="H19" s="22" t="s">
        <v>28</v>
      </c>
      <c r="I19" s="22">
        <f t="shared" si="0"/>
        <v>28000</v>
      </c>
      <c r="J19" s="22" t="str">
        <f t="shared" si="4"/>
        <v>Jan-2024</v>
      </c>
      <c r="K19" s="22" t="str">
        <f t="shared" si="1"/>
        <v>HIGH</v>
      </c>
      <c r="L19" s="22" t="str">
        <f t="shared" si="2"/>
        <v>Good</v>
      </c>
      <c r="M19" s="19">
        <f t="shared" si="3"/>
        <v>22000</v>
      </c>
      <c r="O19" s="29"/>
      <c r="P19" s="45" t="s">
        <v>67</v>
      </c>
      <c r="Q19" s="46"/>
      <c r="R19" s="47"/>
      <c r="S19" s="26"/>
      <c r="U19" s="44" t="s">
        <v>78</v>
      </c>
      <c r="V19" s="44" t="s">
        <v>79</v>
      </c>
      <c r="W19" s="26"/>
      <c r="AA19" s="26"/>
      <c r="AG19" s="26"/>
    </row>
    <row r="20" spans="1:33" ht="28.2" thickBot="1" x14ac:dyDescent="0.35">
      <c r="B20" s="3"/>
      <c r="H20" s="5"/>
      <c r="O20" s="29"/>
      <c r="S20" s="26"/>
      <c r="W20" s="26"/>
      <c r="AB20" s="63" t="s">
        <v>93</v>
      </c>
      <c r="AC20" s="49"/>
      <c r="AD20" s="49"/>
      <c r="AE20" s="49"/>
      <c r="AF20" s="50"/>
      <c r="AG20" s="26"/>
    </row>
    <row r="21" spans="1:33" ht="14.4" customHeight="1" thickBot="1" x14ac:dyDescent="0.35">
      <c r="O21" s="29"/>
      <c r="Q21" s="37" t="s">
        <v>66</v>
      </c>
      <c r="S21" s="26"/>
      <c r="U21" s="37" t="s">
        <v>55</v>
      </c>
      <c r="V21" s="37" t="s">
        <v>55</v>
      </c>
      <c r="X21" s="45" t="s">
        <v>73</v>
      </c>
      <c r="Y21" s="46"/>
      <c r="Z21" s="47"/>
      <c r="AA21" s="26"/>
      <c r="AG21" s="26"/>
    </row>
    <row r="22" spans="1:33" ht="18.600000000000001" thickBot="1" x14ac:dyDescent="0.4">
      <c r="O22" s="29"/>
      <c r="Q22" s="38">
        <f>COUNTA(A5:A19)</f>
        <v>15</v>
      </c>
      <c r="R22" s="6" t="s">
        <v>104</v>
      </c>
      <c r="S22" s="26"/>
      <c r="U22" s="38">
        <f>MAX(I5:I19)</f>
        <v>55000</v>
      </c>
      <c r="V22" s="38">
        <f>MIN(I5:I19)</f>
        <v>3600</v>
      </c>
      <c r="W22" s="26"/>
      <c r="AA22" s="26"/>
      <c r="AC22" s="51" t="s">
        <v>94</v>
      </c>
      <c r="AD22" s="52"/>
      <c r="AE22" s="53"/>
      <c r="AG22" s="26"/>
    </row>
    <row r="23" spans="1:33" ht="15" thickBot="1" x14ac:dyDescent="0.35">
      <c r="O23" s="29"/>
      <c r="S23" s="26"/>
      <c r="U23" s="8" t="s">
        <v>107</v>
      </c>
      <c r="V23" s="8" t="s">
        <v>108</v>
      </c>
      <c r="W23" s="26"/>
      <c r="Y23" s="37" t="s">
        <v>74</v>
      </c>
      <c r="AA23" s="26"/>
      <c r="AG23" s="26"/>
    </row>
    <row r="24" spans="1:33" ht="15" thickBot="1" x14ac:dyDescent="0.35">
      <c r="O24" s="29"/>
      <c r="S24" s="26"/>
      <c r="W24" s="26"/>
      <c r="Y24" s="39">
        <f>AVERAGEIF(D5:D19,"ELECTRONICS",I5:I19)</f>
        <v>22955.555555555555</v>
      </c>
      <c r="Z24" s="8" t="s">
        <v>116</v>
      </c>
      <c r="AA24" s="26"/>
      <c r="AD24" s="42" t="s">
        <v>95</v>
      </c>
      <c r="AG24" s="26"/>
    </row>
    <row r="25" spans="1:33" ht="29.4" thickBot="1" x14ac:dyDescent="0.35">
      <c r="O25" s="29"/>
      <c r="P25" s="45" t="s">
        <v>80</v>
      </c>
      <c r="Q25" s="46"/>
      <c r="R25" s="47"/>
      <c r="S25" s="26"/>
      <c r="T25" s="27"/>
      <c r="U25" s="27"/>
      <c r="V25" s="27"/>
      <c r="W25" s="28"/>
      <c r="AA25" s="26"/>
      <c r="AD25" s="38">
        <f>VLOOKUP("Laptop",C5:F5,4,FALSE)</f>
        <v>55000</v>
      </c>
      <c r="AE25" s="11" t="s">
        <v>100</v>
      </c>
      <c r="AG25" s="26"/>
    </row>
    <row r="26" spans="1:33" ht="15" thickBot="1" x14ac:dyDescent="0.35">
      <c r="O26" s="29"/>
      <c r="S26" s="26"/>
      <c r="W26" s="26"/>
      <c r="Y26" s="37" t="s">
        <v>75</v>
      </c>
      <c r="AA26" s="26"/>
      <c r="AG26" s="26"/>
    </row>
    <row r="27" spans="1:33" ht="15" thickBot="1" x14ac:dyDescent="0.35">
      <c r="O27" s="29"/>
      <c r="Q27" s="37" t="s">
        <v>81</v>
      </c>
      <c r="S27" s="26"/>
      <c r="W27" s="26"/>
      <c r="Y27" s="38">
        <f>AVERAGEIF(E5:E19,"Mumbai",I5:I19)</f>
        <v>40000</v>
      </c>
      <c r="Z27" s="8" t="s">
        <v>117</v>
      </c>
      <c r="AA27" s="26"/>
      <c r="AG27" s="26"/>
    </row>
    <row r="28" spans="1:33" ht="18.600000000000001" thickBot="1" x14ac:dyDescent="0.4">
      <c r="O28" s="29"/>
      <c r="Q28" s="38">
        <f>COUNTIF(E5:E19,"Pune")</f>
        <v>3</v>
      </c>
      <c r="R28" s="11" t="s">
        <v>105</v>
      </c>
      <c r="S28" s="26"/>
      <c r="W28" s="26"/>
      <c r="AA28" s="26"/>
      <c r="AC28" s="51" t="s">
        <v>97</v>
      </c>
      <c r="AD28" s="52"/>
      <c r="AE28" s="53"/>
      <c r="AG28" s="26"/>
    </row>
    <row r="29" spans="1:33" ht="15" thickBot="1" x14ac:dyDescent="0.35">
      <c r="O29" s="29"/>
      <c r="R29" s="1"/>
      <c r="S29" s="26"/>
      <c r="W29" s="26"/>
      <c r="AA29" s="26"/>
      <c r="AG29" s="26"/>
    </row>
    <row r="30" spans="1:33" ht="14.4" customHeight="1" thickBot="1" x14ac:dyDescent="0.35">
      <c r="O30" s="29"/>
      <c r="P30" s="45" t="s">
        <v>82</v>
      </c>
      <c r="Q30" s="46"/>
      <c r="R30" s="47"/>
      <c r="S30" s="26"/>
      <c r="W30" s="26"/>
      <c r="AA30" s="26"/>
      <c r="AD30" s="37" t="s">
        <v>98</v>
      </c>
      <c r="AG30" s="26"/>
    </row>
    <row r="31" spans="1:33" ht="29.4" thickBot="1" x14ac:dyDescent="0.35">
      <c r="O31" s="29"/>
      <c r="R31" s="1"/>
      <c r="S31" s="26"/>
      <c r="W31" s="26"/>
      <c r="AA31" s="26"/>
      <c r="AD31" s="38">
        <f>INDEX(F5:F19,MATCH("Tablet",C5:C19,0))</f>
        <v>22000</v>
      </c>
      <c r="AE31" s="11" t="s">
        <v>99</v>
      </c>
      <c r="AG31" s="26"/>
    </row>
    <row r="32" spans="1:33" ht="15" thickBot="1" x14ac:dyDescent="0.35">
      <c r="O32" s="29"/>
      <c r="Q32" s="37" t="s">
        <v>83</v>
      </c>
      <c r="R32" s="1"/>
      <c r="S32" s="26"/>
      <c r="W32" s="26"/>
      <c r="AA32" s="26"/>
      <c r="AG32" s="26"/>
    </row>
    <row r="33" spans="15:33" ht="28.8" x14ac:dyDescent="0.3">
      <c r="O33" s="29"/>
      <c r="Q33" s="38">
        <f>COUNTIFS(E5:E19,"Delhi",D5:D19,"Furniture")</f>
        <v>2</v>
      </c>
      <c r="R33" s="11" t="s">
        <v>106</v>
      </c>
      <c r="S33" s="26"/>
      <c r="W33" s="26"/>
      <c r="AA33" s="26"/>
      <c r="AG33" s="26"/>
    </row>
    <row r="34" spans="15:33" x14ac:dyDescent="0.3">
      <c r="O34" s="29"/>
      <c r="S34" s="26"/>
      <c r="AA34" s="26"/>
      <c r="AG34" s="26"/>
    </row>
    <row r="35" spans="15:33" x14ac:dyDescent="0.3">
      <c r="O35" s="29"/>
      <c r="S35" s="26"/>
      <c r="AA35" s="26"/>
      <c r="AG35" s="26"/>
    </row>
    <row r="36" spans="15:33" x14ac:dyDescent="0.3">
      <c r="O36" s="29"/>
      <c r="S36" s="26"/>
      <c r="AA36" s="26"/>
    </row>
    <row r="37" spans="15:33" x14ac:dyDescent="0.3">
      <c r="O37" s="29"/>
      <c r="AA37" s="26"/>
    </row>
    <row r="38" spans="15:33" x14ac:dyDescent="0.3">
      <c r="O38" s="29"/>
      <c r="AA38" s="26"/>
    </row>
    <row r="39" spans="15:33" x14ac:dyDescent="0.3">
      <c r="O39" s="29"/>
    </row>
    <row r="40" spans="15:33" x14ac:dyDescent="0.3">
      <c r="O40" s="29"/>
    </row>
    <row r="41" spans="15:33" x14ac:dyDescent="0.3">
      <c r="O41" s="29"/>
    </row>
    <row r="42" spans="15:33" x14ac:dyDescent="0.3">
      <c r="O42" s="29"/>
    </row>
    <row r="43" spans="15:33" x14ac:dyDescent="0.3">
      <c r="O43" s="29"/>
    </row>
  </sheetData>
  <mergeCells count="17">
    <mergeCell ref="AC28:AE28"/>
    <mergeCell ref="A2:M2"/>
    <mergeCell ref="AC9:AE9"/>
    <mergeCell ref="AC14:AE14"/>
    <mergeCell ref="AB2:AF2"/>
    <mergeCell ref="AB20:AF20"/>
    <mergeCell ref="AC22:AE22"/>
    <mergeCell ref="P19:R19"/>
    <mergeCell ref="P25:R25"/>
    <mergeCell ref="AC4:AE4"/>
    <mergeCell ref="P30:R30"/>
    <mergeCell ref="X4:Z4"/>
    <mergeCell ref="X15:Z15"/>
    <mergeCell ref="X21:Z21"/>
    <mergeCell ref="P2:Z2"/>
    <mergeCell ref="T4:V4"/>
    <mergeCell ref="P4:R4"/>
  </mergeCells>
  <phoneticPr fontId="3"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1EFB9-0FF6-44AE-A31B-1CE7A3A9C71F}">
  <dimension ref="A1"/>
  <sheetViews>
    <sheetView tabSelected="1" workbookViewId="0">
      <selection activeCell="H26" sqref="H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D540D-C8BA-430B-9CDA-CC5BCCF68FD4}">
  <dimension ref="A1:C6"/>
  <sheetViews>
    <sheetView workbookViewId="0">
      <selection activeCell="C13" sqref="C13"/>
    </sheetView>
  </sheetViews>
  <sheetFormatPr defaultRowHeight="14.4" x14ac:dyDescent="0.3"/>
  <cols>
    <col min="1" max="1" width="17" bestFit="1" customWidth="1"/>
    <col min="2" max="2" width="15.5546875" bestFit="1" customWidth="1"/>
    <col min="3" max="3" width="10.77734375" bestFit="1" customWidth="1"/>
    <col min="4" max="4" width="6" bestFit="1" customWidth="1"/>
    <col min="5" max="5" width="10.77734375" bestFit="1" customWidth="1"/>
  </cols>
  <sheetData>
    <row r="1" spans="1:3" x14ac:dyDescent="0.3">
      <c r="A1" s="64" t="s">
        <v>49</v>
      </c>
      <c r="B1" t="s">
        <v>123</v>
      </c>
    </row>
    <row r="3" spans="1:3" x14ac:dyDescent="0.3">
      <c r="A3" s="64" t="s">
        <v>122</v>
      </c>
      <c r="B3" s="64" t="s">
        <v>121</v>
      </c>
    </row>
    <row r="4" spans="1:3" x14ac:dyDescent="0.3">
      <c r="A4" s="64" t="s">
        <v>119</v>
      </c>
      <c r="B4" s="66">
        <v>1</v>
      </c>
      <c r="C4" s="66" t="s">
        <v>120</v>
      </c>
    </row>
    <row r="5" spans="1:3" x14ac:dyDescent="0.3">
      <c r="A5" s="65" t="s">
        <v>48</v>
      </c>
      <c r="B5" s="67">
        <v>28000</v>
      </c>
      <c r="C5" s="67">
        <v>28000</v>
      </c>
    </row>
    <row r="6" spans="1:3" x14ac:dyDescent="0.3">
      <c r="A6" s="65" t="s">
        <v>120</v>
      </c>
      <c r="B6" s="67">
        <v>28000</v>
      </c>
      <c r="C6" s="67">
        <v>28000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41DB-FB16-4DCD-AD17-A65483EE8958}">
  <dimension ref="A1:E7"/>
  <sheetViews>
    <sheetView workbookViewId="0">
      <selection activeCell="E27" sqref="E27"/>
    </sheetView>
  </sheetViews>
  <sheetFormatPr defaultRowHeight="14.4" x14ac:dyDescent="0.3"/>
  <cols>
    <col min="1" max="1" width="12.5546875" bestFit="1" customWidth="1"/>
    <col min="2" max="2" width="19.77734375" bestFit="1" customWidth="1"/>
    <col min="3" max="3" width="17" bestFit="1" customWidth="1"/>
    <col min="4" max="4" width="24.5546875" bestFit="1" customWidth="1"/>
    <col min="5" max="5" width="21.88671875" bestFit="1" customWidth="1"/>
    <col min="6" max="6" width="24.5546875" bestFit="1" customWidth="1"/>
    <col min="7" max="7" width="21.88671875" bestFit="1" customWidth="1"/>
  </cols>
  <sheetData>
    <row r="1" spans="1:5" x14ac:dyDescent="0.3">
      <c r="A1" s="64" t="s">
        <v>6</v>
      </c>
      <c r="B1" t="s">
        <v>123</v>
      </c>
    </row>
    <row r="3" spans="1:5" x14ac:dyDescent="0.3">
      <c r="B3" s="64" t="s">
        <v>121</v>
      </c>
    </row>
    <row r="4" spans="1:5" x14ac:dyDescent="0.3">
      <c r="B4" t="s">
        <v>23</v>
      </c>
      <c r="D4" t="s">
        <v>125</v>
      </c>
      <c r="E4" t="s">
        <v>126</v>
      </c>
    </row>
    <row r="5" spans="1:5" x14ac:dyDescent="0.3">
      <c r="A5" s="64" t="s">
        <v>119</v>
      </c>
      <c r="B5" t="s">
        <v>124</v>
      </c>
      <c r="C5" t="s">
        <v>122</v>
      </c>
    </row>
    <row r="6" spans="1:5" x14ac:dyDescent="0.3">
      <c r="A6" s="65" t="s">
        <v>48</v>
      </c>
      <c r="B6" s="66">
        <v>28000</v>
      </c>
      <c r="C6" s="67">
        <v>28000</v>
      </c>
      <c r="D6" s="66">
        <v>28000</v>
      </c>
      <c r="E6" s="67">
        <v>28000</v>
      </c>
    </row>
    <row r="7" spans="1:5" x14ac:dyDescent="0.3">
      <c r="A7" s="65" t="s">
        <v>120</v>
      </c>
      <c r="B7" s="66">
        <v>28000</v>
      </c>
      <c r="C7" s="67">
        <v>28000</v>
      </c>
      <c r="D7" s="66">
        <v>28000</v>
      </c>
      <c r="E7" s="67">
        <v>28000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 PROJECT 1  SALES DATA ANALYS</vt:lpstr>
      <vt:lpstr>DASABOARD</vt:lpstr>
      <vt:lpstr>Sheet1</vt:lpstr>
      <vt:lpstr>Sheet3</vt:lpstr>
      <vt:lpstr>Category</vt:lpstr>
      <vt:lpstr>City</vt:lpstr>
      <vt:lpstr>Quantity</vt:lpstr>
      <vt:lpstr>Sales_Amount</vt:lpstr>
      <vt:lpstr>Sales_Total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rutujanavale2003@outlook.com</dc:creator>
  <cp:lastModifiedBy>rutujanavale2003@outlook.com</cp:lastModifiedBy>
  <dcterms:created xsi:type="dcterms:W3CDTF">2025-12-28T06:10:39Z</dcterms:created>
  <dcterms:modified xsi:type="dcterms:W3CDTF">2026-01-07T05:10:29Z</dcterms:modified>
</cp:coreProperties>
</file>